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8" documentId="11_FCDDA1A2621E159982BFC0B9202F12A85943B67B" xr6:coauthVersionLast="47" xr6:coauthVersionMax="47" xr10:uidLastSave="{138B1F09-F9B3-4758-A9A0-90D4E30CD779}"/>
  <bookViews>
    <workbookView xWindow="-110" yWindow="-110" windowWidth="19420" windowHeight="11500" xr2:uid="{00000000-000D-0000-FFFF-FFFF00000000}"/>
  </bookViews>
  <sheets>
    <sheet name="STOCK ALL FINAL" sheetId="3" r:id="rId1"/>
    <sheet name="STOCK ALL" sheetId="2" state="hidden" r:id="rId2"/>
    <sheet name="Sheet1" sheetId="1" state="hidden" r:id="rId3"/>
  </sheets>
  <definedNames>
    <definedName name="_xlnm.Print_Area" localSheetId="0">'STOCK ALL FINAL'!$A$1:$I$76</definedName>
    <definedName name="_xlnm.Print_Titles" localSheetId="0">'STOCK ALL FINAL'!$1:$3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3" i="3" l="1"/>
  <c r="H73" i="3" s="1"/>
  <c r="F5" i="3"/>
  <c r="H5" i="3" s="1"/>
  <c r="F51" i="3" l="1"/>
  <c r="H51" i="3"/>
  <c r="F18" i="3" l="1"/>
  <c r="H18" i="3" s="1"/>
  <c r="F46" i="3"/>
  <c r="H46" i="3" s="1"/>
  <c r="F72" i="3"/>
  <c r="H72" i="3" s="1"/>
  <c r="F50" i="3"/>
  <c r="H50" i="3" s="1"/>
  <c r="F62" i="3"/>
  <c r="H62" i="3" s="1"/>
  <c r="F34" i="3"/>
  <c r="H34" i="3" s="1"/>
  <c r="F4" i="3"/>
  <c r="H4" i="3" s="1"/>
  <c r="F28" i="3"/>
  <c r="H28" i="3" s="1"/>
  <c r="F35" i="3"/>
  <c r="H35" i="3" s="1"/>
  <c r="F8" i="3"/>
  <c r="H8" i="3" s="1"/>
  <c r="F33" i="3"/>
  <c r="H33" i="3" s="1"/>
  <c r="F23" i="3"/>
  <c r="H23" i="3" s="1"/>
  <c r="F56" i="3"/>
  <c r="H56" i="3" s="1"/>
  <c r="F16" i="3"/>
  <c r="H16" i="3" s="1"/>
  <c r="F76" i="3"/>
  <c r="H76" i="3" s="1"/>
  <c r="F75" i="3"/>
  <c r="H75" i="3" s="1"/>
  <c r="F74" i="3"/>
  <c r="H74" i="3" s="1"/>
  <c r="F71" i="3"/>
  <c r="H71" i="3" s="1"/>
  <c r="F70" i="3"/>
  <c r="H70" i="3" s="1"/>
  <c r="F69" i="3"/>
  <c r="H69" i="3" s="1"/>
  <c r="F68" i="3"/>
  <c r="H68" i="3" s="1"/>
  <c r="F67" i="3"/>
  <c r="H67" i="3" s="1"/>
  <c r="F66" i="3"/>
  <c r="H66" i="3" s="1"/>
  <c r="F65" i="3"/>
  <c r="H65" i="3" s="1"/>
  <c r="F63" i="3"/>
  <c r="H63" i="3" s="1"/>
  <c r="F64" i="3"/>
  <c r="H64" i="3" s="1"/>
  <c r="F61" i="3"/>
  <c r="H61" i="3" s="1"/>
  <c r="F60" i="3"/>
  <c r="H60" i="3" s="1"/>
  <c r="F59" i="3"/>
  <c r="H59" i="3" s="1"/>
  <c r="F58" i="3"/>
  <c r="H58" i="3" s="1"/>
  <c r="F57" i="3"/>
  <c r="H57" i="3" s="1"/>
  <c r="F55" i="3"/>
  <c r="H55" i="3" s="1"/>
  <c r="F54" i="3"/>
  <c r="H54" i="3" s="1"/>
  <c r="F53" i="3"/>
  <c r="H53" i="3" s="1"/>
  <c r="F52" i="3"/>
  <c r="H52" i="3" s="1"/>
  <c r="F49" i="3"/>
  <c r="H49" i="3" s="1"/>
  <c r="F48" i="3"/>
  <c r="H48" i="3" s="1"/>
  <c r="F47" i="3"/>
  <c r="H47" i="3" s="1"/>
  <c r="F44" i="3"/>
  <c r="H44" i="3" s="1"/>
  <c r="F43" i="3"/>
  <c r="H43" i="3" s="1"/>
  <c r="F42" i="3"/>
  <c r="H42" i="3" s="1"/>
  <c r="F41" i="3"/>
  <c r="H41" i="3" s="1"/>
  <c r="F40" i="3"/>
  <c r="H40" i="3" s="1"/>
  <c r="F39" i="3"/>
  <c r="H39" i="3" s="1"/>
  <c r="F38" i="3"/>
  <c r="H38" i="3" s="1"/>
  <c r="F37" i="3"/>
  <c r="H37" i="3" s="1"/>
  <c r="F36" i="3"/>
  <c r="H36" i="3" s="1"/>
  <c r="F45" i="3"/>
  <c r="H45" i="3" s="1"/>
  <c r="F32" i="3"/>
  <c r="H32" i="3" s="1"/>
  <c r="F31" i="3"/>
  <c r="H31" i="3" s="1"/>
  <c r="F30" i="3"/>
  <c r="H30" i="3" s="1"/>
  <c r="F29" i="3"/>
  <c r="H29" i="3" s="1"/>
  <c r="F27" i="3"/>
  <c r="H27" i="3" s="1"/>
  <c r="F26" i="3"/>
  <c r="H26" i="3" s="1"/>
  <c r="F25" i="3"/>
  <c r="H25" i="3" s="1"/>
  <c r="F24" i="3"/>
  <c r="H24" i="3" s="1"/>
  <c r="F22" i="3"/>
  <c r="H22" i="3" s="1"/>
  <c r="F21" i="3"/>
  <c r="H21" i="3" s="1"/>
  <c r="F20" i="3"/>
  <c r="H20" i="3" s="1"/>
  <c r="F19" i="3"/>
  <c r="H19" i="3" s="1"/>
  <c r="F17" i="3"/>
  <c r="H17" i="3" s="1"/>
  <c r="F15" i="3"/>
  <c r="H15" i="3" s="1"/>
  <c r="F14" i="3"/>
  <c r="H14" i="3" s="1"/>
  <c r="F13" i="3"/>
  <c r="H13" i="3" s="1"/>
  <c r="F12" i="3"/>
  <c r="H12" i="3" s="1"/>
  <c r="F11" i="3"/>
  <c r="H11" i="3" s="1"/>
  <c r="F10" i="3"/>
  <c r="H10" i="3" s="1"/>
  <c r="F9" i="3"/>
  <c r="H9" i="3" s="1"/>
  <c r="F7" i="3"/>
  <c r="H7" i="3" s="1"/>
  <c r="F6" i="3"/>
  <c r="H6" i="3" s="1"/>
  <c r="F68" i="2"/>
  <c r="H68" i="2" s="1"/>
  <c r="F69" i="2"/>
  <c r="H69" i="2" s="1"/>
  <c r="F70" i="2"/>
  <c r="H70" i="2"/>
  <c r="F71" i="2"/>
  <c r="H71" i="2"/>
  <c r="F72" i="2"/>
  <c r="H72" i="2"/>
  <c r="F73" i="2"/>
  <c r="H73" i="2"/>
  <c r="F61" i="2"/>
  <c r="H61" i="2" s="1"/>
  <c r="F62" i="2"/>
  <c r="H62" i="2"/>
  <c r="F63" i="2"/>
  <c r="H63" i="2"/>
  <c r="F64" i="2"/>
  <c r="H64" i="2" s="1"/>
  <c r="F65" i="2"/>
  <c r="H65" i="2"/>
  <c r="F66" i="2"/>
  <c r="H66" i="2" s="1"/>
  <c r="F67" i="2"/>
  <c r="H67" i="2"/>
  <c r="F5" i="2"/>
  <c r="H5" i="2" s="1"/>
  <c r="F6" i="2"/>
  <c r="H6" i="2" s="1"/>
  <c r="F7" i="2"/>
  <c r="H7" i="2" s="1"/>
  <c r="F8" i="2"/>
  <c r="H8" i="2" s="1"/>
  <c r="F9" i="2"/>
  <c r="H9" i="2" s="1"/>
  <c r="F10" i="2"/>
  <c r="H10" i="2" s="1"/>
  <c r="F11" i="2"/>
  <c r="H11" i="2" s="1"/>
  <c r="F12" i="2"/>
  <c r="H12" i="2" s="1"/>
  <c r="F13" i="2"/>
  <c r="H13" i="2" s="1"/>
  <c r="F14" i="2"/>
  <c r="H14" i="2" s="1"/>
  <c r="F15" i="2"/>
  <c r="H15" i="2" s="1"/>
  <c r="F16" i="2"/>
  <c r="H16" i="2" s="1"/>
  <c r="F17" i="2"/>
  <c r="H17" i="2" s="1"/>
  <c r="F18" i="2"/>
  <c r="F19" i="2"/>
  <c r="F20" i="2"/>
  <c r="F21" i="2"/>
  <c r="H21" i="2" s="1"/>
  <c r="F22" i="2"/>
  <c r="H22" i="2" s="1"/>
  <c r="F23" i="2"/>
  <c r="F24" i="2"/>
  <c r="F25" i="2"/>
  <c r="H25" i="2" s="1"/>
  <c r="F26" i="2"/>
  <c r="H26" i="2" s="1"/>
  <c r="F27" i="2"/>
  <c r="H27" i="2" s="1"/>
  <c r="F28" i="2"/>
  <c r="H28" i="2" s="1"/>
  <c r="F29" i="2"/>
  <c r="H29" i="2" s="1"/>
  <c r="F30" i="2"/>
  <c r="H30" i="2" s="1"/>
  <c r="F31" i="2"/>
  <c r="H31" i="2" s="1"/>
  <c r="F32" i="2"/>
  <c r="H32" i="2" s="1"/>
  <c r="F33" i="2"/>
  <c r="H33" i="2" s="1"/>
  <c r="F34" i="2"/>
  <c r="H34" i="2" s="1"/>
  <c r="F35" i="2"/>
  <c r="F36" i="2"/>
  <c r="F37" i="2"/>
  <c r="H37" i="2" s="1"/>
  <c r="F38" i="2"/>
  <c r="F39" i="2"/>
  <c r="H39" i="2" s="1"/>
  <c r="F40" i="2"/>
  <c r="H40" i="2" s="1"/>
  <c r="F41" i="2"/>
  <c r="H41" i="2" s="1"/>
  <c r="F42" i="2"/>
  <c r="H42" i="2" s="1"/>
  <c r="F43" i="2"/>
  <c r="F44" i="2"/>
  <c r="H44" i="2" s="1"/>
  <c r="F45" i="2"/>
  <c r="H45" i="2" s="1"/>
  <c r="F46" i="2"/>
  <c r="H46" i="2" s="1"/>
  <c r="F47" i="2"/>
  <c r="H47" i="2" s="1"/>
  <c r="F48" i="2"/>
  <c r="H48" i="2" s="1"/>
  <c r="F49" i="2"/>
  <c r="H49" i="2" s="1"/>
  <c r="F50" i="2"/>
  <c r="H50" i="2" s="1"/>
  <c r="F51" i="2"/>
  <c r="H51" i="2" s="1"/>
  <c r="F52" i="2"/>
  <c r="H52" i="2" s="1"/>
  <c r="F53" i="2"/>
  <c r="F54" i="2"/>
  <c r="F55" i="2"/>
  <c r="F56" i="2"/>
  <c r="H56" i="2" s="1"/>
  <c r="F57" i="2"/>
  <c r="F58" i="2"/>
  <c r="F59" i="2"/>
  <c r="F60" i="2"/>
  <c r="F4" i="2"/>
  <c r="H4" i="2" s="1"/>
  <c r="H53" i="2"/>
  <c r="H54" i="2"/>
  <c r="H55" i="2"/>
  <c r="H57" i="2"/>
  <c r="H58" i="2"/>
  <c r="H59" i="2"/>
  <c r="H60" i="2"/>
  <c r="H18" i="2"/>
  <c r="H19" i="2"/>
  <c r="H20" i="2"/>
  <c r="H23" i="2"/>
  <c r="H24" i="2"/>
  <c r="H35" i="2"/>
  <c r="H36" i="2"/>
  <c r="H38" i="2"/>
  <c r="H43" i="2"/>
  <c r="G4" i="1" l="1"/>
</calcChain>
</file>

<file path=xl/sharedStrings.xml><?xml version="1.0" encoding="utf-8"?>
<sst xmlns="http://schemas.openxmlformats.org/spreadsheetml/2006/main" count="234" uniqueCount="94">
  <si>
    <t>S.N</t>
  </si>
  <si>
    <t>NAME OF ITEM</t>
  </si>
  <si>
    <t>STUDENTS CHAIR</t>
  </si>
  <si>
    <t>STUDENTS DESK BOX</t>
  </si>
  <si>
    <t>TEACHER CHAIR</t>
  </si>
  <si>
    <t>TEACHER TABLE</t>
  </si>
  <si>
    <t>SHOW CASE</t>
  </si>
  <si>
    <t>DUAL DESK</t>
  </si>
  <si>
    <t>PRACTICAL TABLE</t>
  </si>
  <si>
    <t>BAL QTY AS PER STOCK</t>
  </si>
  <si>
    <t>ACTUAL BAL (PHYSICAL)</t>
  </si>
  <si>
    <t>DIFF</t>
  </si>
  <si>
    <t>NEWSPAPER STAND</t>
  </si>
  <si>
    <t>COMPUTER TABLE SUNMICA TOP</t>
  </si>
  <si>
    <t>STOOL ROUND CUSHION</t>
  </si>
  <si>
    <t>LECTURE STAND</t>
  </si>
  <si>
    <t>PRINCIPAL TABLE</t>
  </si>
  <si>
    <t>TAKHAT</t>
  </si>
  <si>
    <t>WRITING TABLE 2DR RAXINE TOP1</t>
  </si>
  <si>
    <t>SOLID ALMIRAH WOODEN</t>
  </si>
  <si>
    <t>PEGION HOLE ALMIRAH</t>
  </si>
  <si>
    <t>ATTENDANCE REGISTER TABLE</t>
  </si>
  <si>
    <t>CHEMISTRY TABLE</t>
  </si>
  <si>
    <t>STUDENT TABLE FLAT</t>
  </si>
  <si>
    <t>STUDENT TABLE FLAT INCLUDING WITH SELF</t>
  </si>
  <si>
    <t>OFFICE TABLE</t>
  </si>
  <si>
    <t>WOODEN ALMIRAH SMALL</t>
  </si>
  <si>
    <t>WOODEN ALMIRAH WITH GLASS</t>
  </si>
  <si>
    <t>BOOK RACK</t>
  </si>
  <si>
    <t>BENCH WITH BACK BIG</t>
  </si>
  <si>
    <t>BENCH WITHOUT BACK BIG</t>
  </si>
  <si>
    <t>STOOL LAB</t>
  </si>
  <si>
    <t>TAILORING TABLE</t>
  </si>
  <si>
    <t>TOWEL RACK</t>
  </si>
  <si>
    <t>REVOLVING CHAIR</t>
  </si>
  <si>
    <t>STOCK REGISTER VOL -I</t>
  </si>
  <si>
    <t>STEEL ALMIRAH</t>
  </si>
  <si>
    <t>BOX WOODEN</t>
  </si>
  <si>
    <t>EASY CHAIR</t>
  </si>
  <si>
    <t>WORKSHOP TABLE</t>
  </si>
  <si>
    <t>GLASS DOOR STEEL ALMIRAH</t>
  </si>
  <si>
    <t>LIBRARY TABLE</t>
  </si>
  <si>
    <t>DISPLAY BOARD GLASS DOOR</t>
  </si>
  <si>
    <t>OFFICE CHAIR WITH ARM AND FOAM SEAT</t>
  </si>
  <si>
    <t>OFFICE TABLE STEEL WITOUT DR</t>
  </si>
  <si>
    <t>SMALL CHAIR WITH SUNMICA</t>
  </si>
  <si>
    <t>HEXAGONAL TABLE</t>
  </si>
  <si>
    <t>STAFF ROOM TABLE</t>
  </si>
  <si>
    <t>PEGION HOLE ALMIRAH STEEL</t>
  </si>
  <si>
    <t>DISPLAY BOARD WITOUT GLASS</t>
  </si>
  <si>
    <t>STEEL  RACK OPEN TYPE</t>
  </si>
  <si>
    <t>EXECUTIVE CUSHION REVOLVING CHAIR</t>
  </si>
  <si>
    <t>OFFICE TABLE 5*3</t>
  </si>
  <si>
    <t>OFFICE TABLE WITH DRAWER</t>
  </si>
  <si>
    <t>NEELKAMAL PLASTIC CHAIR</t>
  </si>
  <si>
    <t>BOX(BAKSHA)</t>
  </si>
  <si>
    <t>SHOE RACK</t>
  </si>
  <si>
    <t>BALLOT BOX</t>
  </si>
  <si>
    <t>OFFICERS CHAIR CUSHIONED</t>
  </si>
  <si>
    <t>MASTER SOFA CUSHION COVER W</t>
  </si>
  <si>
    <t>CENTER TABLE</t>
  </si>
  <si>
    <t>DOUBLE BED</t>
  </si>
  <si>
    <t>GREEN CHALK BOARD</t>
  </si>
  <si>
    <t>S.NO.</t>
  </si>
  <si>
    <t>STOCK REGISTER VOL -II</t>
  </si>
  <si>
    <t>STOCK REGISTER VOL -III</t>
  </si>
  <si>
    <t>TOTAL</t>
  </si>
  <si>
    <t>COMPUTER LAB CHAIR</t>
  </si>
  <si>
    <t>REVOLVING CHAIR (OFFICE)</t>
  </si>
  <si>
    <t>STUDENT TABLE/DESK  FLAT</t>
  </si>
  <si>
    <t>STAFF ROOM CHAIR</t>
  </si>
  <si>
    <t>DUAL DESK PRIMARY(HARD BOARD)</t>
  </si>
  <si>
    <t>METAL LADDER</t>
  </si>
  <si>
    <t>3 SEAT BENCH STEEL</t>
  </si>
  <si>
    <t>MOULDED CHAIR (BABY)</t>
  </si>
  <si>
    <t>GREEN MATTING (75 meter)</t>
  </si>
  <si>
    <t>ARM CHAIR (LANG LAB)</t>
  </si>
  <si>
    <t>MODULAR WORK STN(LANG LAB)</t>
  </si>
  <si>
    <t>PLASTIC CHAIR MOULDED</t>
  </si>
  <si>
    <t>STOOL WOODEN</t>
  </si>
  <si>
    <t>ROUND CUSHIONED CHAIRCOMP LAB</t>
  </si>
  <si>
    <t>VISITOR CHAIR PRIMARY STAFF ROOM</t>
  </si>
  <si>
    <t>PLASTIC MOULDED TABLE BALVATIKA</t>
  </si>
  <si>
    <t xml:space="preserve">DISPLAY BOARD </t>
  </si>
  <si>
    <t>BENCH STEEL</t>
  </si>
  <si>
    <t xml:space="preserve">GREEN MATTING </t>
  </si>
  <si>
    <t>SEMI FLOWER BED</t>
  </si>
  <si>
    <t>ASSEMBLY TABLE</t>
  </si>
  <si>
    <t>REVOLVING CHAIR (OFFICE/PRINCIPAL)</t>
  </si>
  <si>
    <t>WHITE BOARD</t>
  </si>
  <si>
    <t>STOCK REGISTER       VOL -II</t>
  </si>
  <si>
    <t>FURNITURE STOCK RECORD OF PM SHRI KV RANIKHET</t>
  </si>
  <si>
    <t>LOCATION OF ITEM</t>
  </si>
  <si>
    <t>TOTAL CARRIED FORWARD TO NEW STOCK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</si>
</sst>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Protection="1"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6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view="pageBreakPreview" topLeftCell="A3" zoomScaleNormal="100" zoomScaleSheetLayoutView="100" workbookViewId="0">
      <selection activeCell="G11" sqref="G11"/>
    </sheetView>
  </sheetViews>
  <sheetFormatPr defaultRowHeight="18.5" x14ac:dyDescent="0.45"/>
  <cols>
    <col min="1" max="1" width="8.453125" style="3" bestFit="1" customWidth="1"/>
    <col min="2" max="2" width="54.453125" style="3" customWidth="1"/>
    <col min="3" max="3" width="21.1796875" style="4" customWidth="1"/>
    <col min="4" max="4" width="19.453125" style="4" bestFit="1" customWidth="1"/>
    <col min="5" max="5" width="14.26953125" style="4" bestFit="1" customWidth="1"/>
    <col min="6" max="6" width="8.54296875" style="4" bestFit="1" customWidth="1"/>
    <col min="7" max="7" width="15.453125" bestFit="1" customWidth="1"/>
    <col min="8" max="8" width="6.1796875" style="16" bestFit="1" customWidth="1"/>
    <col min="9" max="9" width="40" customWidth="1"/>
  </cols>
  <sheetData>
    <row r="1" spans="1:9" ht="25.5" customHeight="1" x14ac:dyDescent="0.35">
      <c r="A1" s="21" t="s">
        <v>91</v>
      </c>
      <c r="B1" s="21"/>
      <c r="C1" s="21"/>
      <c r="D1" s="21"/>
      <c r="E1" s="21"/>
      <c r="F1" s="21"/>
      <c r="G1" s="21"/>
      <c r="H1" s="21"/>
      <c r="I1" s="21"/>
    </row>
    <row r="2" spans="1:9" ht="45" x14ac:dyDescent="0.35">
      <c r="A2" s="24" t="s">
        <v>63</v>
      </c>
      <c r="B2" s="24" t="s">
        <v>1</v>
      </c>
      <c r="C2" s="17" t="s">
        <v>35</v>
      </c>
      <c r="D2" s="17" t="s">
        <v>90</v>
      </c>
      <c r="E2" s="17" t="s">
        <v>65</v>
      </c>
      <c r="F2" s="24" t="s">
        <v>93</v>
      </c>
      <c r="G2" s="25" t="s">
        <v>10</v>
      </c>
      <c r="H2" s="24" t="s">
        <v>11</v>
      </c>
      <c r="I2" s="22" t="s">
        <v>92</v>
      </c>
    </row>
    <row r="3" spans="1:9" ht="30" x14ac:dyDescent="0.35">
      <c r="A3" s="24"/>
      <c r="B3" s="24"/>
      <c r="C3" s="17" t="s">
        <v>9</v>
      </c>
      <c r="D3" s="17" t="s">
        <v>9</v>
      </c>
      <c r="E3" s="17" t="s">
        <v>9</v>
      </c>
      <c r="F3" s="24"/>
      <c r="G3" s="25"/>
      <c r="H3" s="24"/>
      <c r="I3" s="23"/>
    </row>
    <row r="4" spans="1:9" ht="19.5" customHeight="1" x14ac:dyDescent="0.45">
      <c r="A4" s="10">
        <v>1</v>
      </c>
      <c r="B4" s="10" t="s">
        <v>76</v>
      </c>
      <c r="C4" s="11">
        <v>0</v>
      </c>
      <c r="D4" s="11">
        <v>0</v>
      </c>
      <c r="E4" s="11">
        <v>30</v>
      </c>
      <c r="F4" s="11">
        <f t="shared" ref="F4:F35" si="0">C4+D4+E4</f>
        <v>30</v>
      </c>
      <c r="G4" s="18">
        <v>30</v>
      </c>
      <c r="H4" s="15">
        <f t="shared" ref="H4:H35" si="1">F4-G4</f>
        <v>0</v>
      </c>
      <c r="I4" s="20"/>
    </row>
    <row r="5" spans="1:9" ht="19.5" customHeight="1" x14ac:dyDescent="0.45">
      <c r="A5" s="10">
        <v>2</v>
      </c>
      <c r="B5" s="10" t="s">
        <v>87</v>
      </c>
      <c r="C5" s="11">
        <v>0</v>
      </c>
      <c r="D5" s="11">
        <v>1</v>
      </c>
      <c r="E5" s="11">
        <v>0</v>
      </c>
      <c r="F5" s="11">
        <f t="shared" si="0"/>
        <v>1</v>
      </c>
      <c r="G5" s="18">
        <v>1</v>
      </c>
      <c r="H5" s="15">
        <f t="shared" si="1"/>
        <v>0</v>
      </c>
      <c r="I5" s="20"/>
    </row>
    <row r="6" spans="1:9" ht="19.5" customHeight="1" x14ac:dyDescent="0.45">
      <c r="A6" s="10">
        <v>3</v>
      </c>
      <c r="B6" s="10" t="s">
        <v>21</v>
      </c>
      <c r="C6" s="11">
        <v>1</v>
      </c>
      <c r="D6" s="11">
        <v>0</v>
      </c>
      <c r="E6" s="11">
        <v>0</v>
      </c>
      <c r="F6" s="11">
        <f t="shared" si="0"/>
        <v>1</v>
      </c>
      <c r="G6" s="18">
        <v>1</v>
      </c>
      <c r="H6" s="15">
        <f t="shared" si="1"/>
        <v>0</v>
      </c>
      <c r="I6" s="20"/>
    </row>
    <row r="7" spans="1:9" ht="19.5" customHeight="1" x14ac:dyDescent="0.45">
      <c r="A7" s="10">
        <v>4</v>
      </c>
      <c r="B7" s="10" t="s">
        <v>57</v>
      </c>
      <c r="C7" s="11">
        <v>26</v>
      </c>
      <c r="D7" s="11">
        <v>0</v>
      </c>
      <c r="E7" s="11">
        <v>0</v>
      </c>
      <c r="F7" s="11">
        <f t="shared" si="0"/>
        <v>26</v>
      </c>
      <c r="G7" s="18">
        <v>26</v>
      </c>
      <c r="H7" s="15">
        <f t="shared" si="1"/>
        <v>0</v>
      </c>
      <c r="I7" s="20"/>
    </row>
    <row r="8" spans="1:9" ht="19.5" customHeight="1" x14ac:dyDescent="0.45">
      <c r="A8" s="10">
        <v>5</v>
      </c>
      <c r="B8" s="10" t="s">
        <v>84</v>
      </c>
      <c r="C8" s="11">
        <v>0</v>
      </c>
      <c r="D8" s="11">
        <v>0</v>
      </c>
      <c r="E8" s="11">
        <v>3</v>
      </c>
      <c r="F8" s="11">
        <f t="shared" si="0"/>
        <v>3</v>
      </c>
      <c r="G8" s="18">
        <v>3</v>
      </c>
      <c r="H8" s="15">
        <f t="shared" si="1"/>
        <v>0</v>
      </c>
      <c r="I8" s="20"/>
    </row>
    <row r="9" spans="1:9" ht="19.5" customHeight="1" x14ac:dyDescent="0.45">
      <c r="A9" s="10">
        <v>6</v>
      </c>
      <c r="B9" s="10" t="s">
        <v>29</v>
      </c>
      <c r="C9" s="11">
        <v>3</v>
      </c>
      <c r="D9" s="11">
        <v>0</v>
      </c>
      <c r="E9" s="11">
        <v>0</v>
      </c>
      <c r="F9" s="11">
        <f t="shared" si="0"/>
        <v>3</v>
      </c>
      <c r="G9" s="18">
        <v>0</v>
      </c>
      <c r="H9" s="15">
        <f t="shared" si="1"/>
        <v>3</v>
      </c>
      <c r="I9" s="20"/>
    </row>
    <row r="10" spans="1:9" ht="19.5" customHeight="1" x14ac:dyDescent="0.45">
      <c r="A10" s="10">
        <v>7</v>
      </c>
      <c r="B10" s="10" t="s">
        <v>30</v>
      </c>
      <c r="C10" s="11">
        <v>4</v>
      </c>
      <c r="D10" s="11">
        <v>0</v>
      </c>
      <c r="E10" s="11">
        <v>0</v>
      </c>
      <c r="F10" s="11">
        <f t="shared" si="0"/>
        <v>4</v>
      </c>
      <c r="G10" s="18">
        <v>0</v>
      </c>
      <c r="H10" s="15">
        <f t="shared" si="1"/>
        <v>4</v>
      </c>
      <c r="I10" s="20"/>
    </row>
    <row r="11" spans="1:9" ht="19.5" customHeight="1" x14ac:dyDescent="0.45">
      <c r="A11" s="10">
        <v>8</v>
      </c>
      <c r="B11" s="10" t="s">
        <v>28</v>
      </c>
      <c r="C11" s="11">
        <v>3</v>
      </c>
      <c r="D11" s="11">
        <v>0</v>
      </c>
      <c r="E11" s="11">
        <v>0</v>
      </c>
      <c r="F11" s="11">
        <f t="shared" si="0"/>
        <v>3</v>
      </c>
      <c r="G11" s="18"/>
      <c r="H11" s="15">
        <f t="shared" si="1"/>
        <v>3</v>
      </c>
      <c r="I11" s="20"/>
    </row>
    <row r="12" spans="1:9" ht="19.5" customHeight="1" x14ac:dyDescent="0.45">
      <c r="A12" s="10">
        <v>9</v>
      </c>
      <c r="B12" s="10" t="s">
        <v>37</v>
      </c>
      <c r="C12" s="11">
        <v>1</v>
      </c>
      <c r="D12" s="11">
        <v>0</v>
      </c>
      <c r="E12" s="11">
        <v>0</v>
      </c>
      <c r="F12" s="11">
        <f t="shared" si="0"/>
        <v>1</v>
      </c>
      <c r="G12" s="18"/>
      <c r="H12" s="15">
        <f t="shared" si="1"/>
        <v>1</v>
      </c>
      <c r="I12" s="20"/>
    </row>
    <row r="13" spans="1:9" ht="19.5" customHeight="1" x14ac:dyDescent="0.45">
      <c r="A13" s="10">
        <v>10</v>
      </c>
      <c r="B13" s="10" t="s">
        <v>55</v>
      </c>
      <c r="C13" s="11">
        <v>2</v>
      </c>
      <c r="D13" s="11">
        <v>0</v>
      </c>
      <c r="E13" s="11">
        <v>0</v>
      </c>
      <c r="F13" s="11">
        <f t="shared" si="0"/>
        <v>2</v>
      </c>
      <c r="G13" s="18"/>
      <c r="H13" s="15">
        <f t="shared" si="1"/>
        <v>2</v>
      </c>
      <c r="I13" s="20"/>
    </row>
    <row r="14" spans="1:9" ht="19.5" customHeight="1" x14ac:dyDescent="0.45">
      <c r="A14" s="10">
        <v>11</v>
      </c>
      <c r="B14" s="10" t="s">
        <v>60</v>
      </c>
      <c r="C14" s="11">
        <v>2</v>
      </c>
      <c r="D14" s="11">
        <v>0</v>
      </c>
      <c r="E14" s="11">
        <v>0</v>
      </c>
      <c r="F14" s="11">
        <f t="shared" si="0"/>
        <v>2</v>
      </c>
      <c r="G14" s="18"/>
      <c r="H14" s="15">
        <f t="shared" si="1"/>
        <v>2</v>
      </c>
      <c r="I14" s="20"/>
    </row>
    <row r="15" spans="1:9" ht="19.5" customHeight="1" x14ac:dyDescent="0.45">
      <c r="A15" s="10">
        <v>12</v>
      </c>
      <c r="B15" s="10" t="s">
        <v>22</v>
      </c>
      <c r="C15" s="11">
        <v>6</v>
      </c>
      <c r="D15" s="11">
        <v>0</v>
      </c>
      <c r="E15" s="11">
        <v>6</v>
      </c>
      <c r="F15" s="11">
        <f t="shared" si="0"/>
        <v>12</v>
      </c>
      <c r="G15" s="18"/>
      <c r="H15" s="15">
        <f t="shared" si="1"/>
        <v>12</v>
      </c>
      <c r="I15" s="20"/>
    </row>
    <row r="16" spans="1:9" ht="19.5" customHeight="1" x14ac:dyDescent="0.45">
      <c r="A16" s="10">
        <v>13</v>
      </c>
      <c r="B16" s="10" t="s">
        <v>67</v>
      </c>
      <c r="C16" s="11">
        <v>0</v>
      </c>
      <c r="D16" s="11">
        <v>0</v>
      </c>
      <c r="E16" s="11">
        <v>30</v>
      </c>
      <c r="F16" s="11">
        <f t="shared" si="0"/>
        <v>30</v>
      </c>
      <c r="G16" s="18"/>
      <c r="H16" s="15">
        <f t="shared" si="1"/>
        <v>30</v>
      </c>
      <c r="I16" s="20"/>
    </row>
    <row r="17" spans="1:9" ht="19.5" customHeight="1" x14ac:dyDescent="0.45">
      <c r="A17" s="10">
        <v>14</v>
      </c>
      <c r="B17" s="10" t="s">
        <v>13</v>
      </c>
      <c r="C17" s="11">
        <v>3</v>
      </c>
      <c r="D17" s="11">
        <v>0</v>
      </c>
      <c r="E17" s="11">
        <v>0</v>
      </c>
      <c r="F17" s="11">
        <f t="shared" si="0"/>
        <v>3</v>
      </c>
      <c r="G17" s="18"/>
      <c r="H17" s="15">
        <f t="shared" si="1"/>
        <v>3</v>
      </c>
      <c r="I17" s="20"/>
    </row>
    <row r="18" spans="1:9" ht="19.5" customHeight="1" x14ac:dyDescent="0.45">
      <c r="A18" s="10">
        <v>15</v>
      </c>
      <c r="B18" s="10" t="s">
        <v>83</v>
      </c>
      <c r="C18" s="11">
        <v>0</v>
      </c>
      <c r="D18" s="11">
        <v>0</v>
      </c>
      <c r="E18" s="11">
        <v>16</v>
      </c>
      <c r="F18" s="11">
        <f t="shared" si="0"/>
        <v>16</v>
      </c>
      <c r="G18" s="18"/>
      <c r="H18" s="15">
        <f t="shared" si="1"/>
        <v>16</v>
      </c>
      <c r="I18" s="20"/>
    </row>
    <row r="19" spans="1:9" ht="19.5" customHeight="1" x14ac:dyDescent="0.45">
      <c r="A19" s="10">
        <v>16</v>
      </c>
      <c r="B19" s="10" t="s">
        <v>42</v>
      </c>
      <c r="C19" s="11">
        <v>15</v>
      </c>
      <c r="D19" s="11">
        <v>0</v>
      </c>
      <c r="E19" s="11">
        <v>0</v>
      </c>
      <c r="F19" s="11">
        <f t="shared" si="0"/>
        <v>15</v>
      </c>
      <c r="G19" s="18"/>
      <c r="H19" s="15">
        <f t="shared" si="1"/>
        <v>15</v>
      </c>
      <c r="I19" s="20"/>
    </row>
    <row r="20" spans="1:9" ht="19.5" customHeight="1" x14ac:dyDescent="0.45">
      <c r="A20" s="10">
        <v>17</v>
      </c>
      <c r="B20" s="10" t="s">
        <v>49</v>
      </c>
      <c r="C20" s="11">
        <v>15</v>
      </c>
      <c r="D20" s="11">
        <v>0</v>
      </c>
      <c r="E20" s="11">
        <v>0</v>
      </c>
      <c r="F20" s="11">
        <f t="shared" si="0"/>
        <v>15</v>
      </c>
      <c r="G20" s="18"/>
      <c r="H20" s="15">
        <f t="shared" si="1"/>
        <v>15</v>
      </c>
      <c r="I20" s="20"/>
    </row>
    <row r="21" spans="1:9" ht="19.5" customHeight="1" x14ac:dyDescent="0.45">
      <c r="A21" s="10">
        <v>18</v>
      </c>
      <c r="B21" s="10" t="s">
        <v>61</v>
      </c>
      <c r="C21" s="11">
        <v>1</v>
      </c>
      <c r="D21" s="11">
        <v>0</v>
      </c>
      <c r="E21" s="11">
        <v>0</v>
      </c>
      <c r="F21" s="11">
        <f t="shared" si="0"/>
        <v>1</v>
      </c>
      <c r="G21" s="18"/>
      <c r="H21" s="15">
        <f t="shared" si="1"/>
        <v>1</v>
      </c>
      <c r="I21" s="20"/>
    </row>
    <row r="22" spans="1:9" ht="19.5" customHeight="1" x14ac:dyDescent="0.45">
      <c r="A22" s="10">
        <v>19</v>
      </c>
      <c r="B22" s="10" t="s">
        <v>7</v>
      </c>
      <c r="C22" s="11">
        <v>246</v>
      </c>
      <c r="D22" s="11">
        <v>0</v>
      </c>
      <c r="E22" s="11">
        <v>20</v>
      </c>
      <c r="F22" s="11">
        <f t="shared" si="0"/>
        <v>266</v>
      </c>
      <c r="G22" s="18"/>
      <c r="H22" s="15">
        <f t="shared" si="1"/>
        <v>266</v>
      </c>
      <c r="I22" s="20"/>
    </row>
    <row r="23" spans="1:9" ht="19.5" customHeight="1" x14ac:dyDescent="0.45">
      <c r="A23" s="10">
        <v>20</v>
      </c>
      <c r="B23" s="10" t="s">
        <v>71</v>
      </c>
      <c r="C23" s="11">
        <v>0</v>
      </c>
      <c r="D23" s="11">
        <v>0</v>
      </c>
      <c r="E23" s="11">
        <v>105</v>
      </c>
      <c r="F23" s="11">
        <f t="shared" si="0"/>
        <v>105</v>
      </c>
      <c r="G23" s="18"/>
      <c r="H23" s="15">
        <f t="shared" si="1"/>
        <v>105</v>
      </c>
      <c r="I23" s="20"/>
    </row>
    <row r="24" spans="1:9" ht="19.5" customHeight="1" x14ac:dyDescent="0.45">
      <c r="A24" s="10">
        <v>21</v>
      </c>
      <c r="B24" s="10" t="s">
        <v>38</v>
      </c>
      <c r="C24" s="11">
        <v>1</v>
      </c>
      <c r="D24" s="11">
        <v>0</v>
      </c>
      <c r="E24" s="11">
        <v>0</v>
      </c>
      <c r="F24" s="11">
        <f t="shared" si="0"/>
        <v>1</v>
      </c>
      <c r="G24" s="18"/>
      <c r="H24" s="15">
        <f t="shared" si="1"/>
        <v>1</v>
      </c>
      <c r="I24" s="20"/>
    </row>
    <row r="25" spans="1:9" ht="19.5" customHeight="1" x14ac:dyDescent="0.45">
      <c r="A25" s="10">
        <v>22</v>
      </c>
      <c r="B25" s="10" t="s">
        <v>51</v>
      </c>
      <c r="C25" s="11">
        <v>1</v>
      </c>
      <c r="D25" s="11">
        <v>0</v>
      </c>
      <c r="E25" s="11">
        <v>0</v>
      </c>
      <c r="F25" s="11">
        <f t="shared" si="0"/>
        <v>1</v>
      </c>
      <c r="G25" s="18"/>
      <c r="H25" s="15">
        <f t="shared" si="1"/>
        <v>1</v>
      </c>
      <c r="I25" s="20"/>
    </row>
    <row r="26" spans="1:9" ht="19.5" customHeight="1" x14ac:dyDescent="0.45">
      <c r="A26" s="10">
        <v>23</v>
      </c>
      <c r="B26" s="10" t="s">
        <v>40</v>
      </c>
      <c r="C26" s="11">
        <v>7</v>
      </c>
      <c r="D26" s="11">
        <v>0</v>
      </c>
      <c r="E26" s="11">
        <v>0</v>
      </c>
      <c r="F26" s="11">
        <f t="shared" si="0"/>
        <v>7</v>
      </c>
      <c r="G26" s="18"/>
      <c r="H26" s="15">
        <f t="shared" si="1"/>
        <v>7</v>
      </c>
      <c r="I26" s="20"/>
    </row>
    <row r="27" spans="1:9" ht="19.5" customHeight="1" x14ac:dyDescent="0.45">
      <c r="A27" s="10">
        <v>24</v>
      </c>
      <c r="B27" s="10" t="s">
        <v>62</v>
      </c>
      <c r="C27" s="11">
        <v>41</v>
      </c>
      <c r="D27" s="11">
        <v>0</v>
      </c>
      <c r="E27" s="11">
        <v>0</v>
      </c>
      <c r="F27" s="11">
        <f t="shared" si="0"/>
        <v>41</v>
      </c>
      <c r="G27" s="18"/>
      <c r="H27" s="15">
        <f t="shared" si="1"/>
        <v>41</v>
      </c>
      <c r="I27" s="20"/>
    </row>
    <row r="28" spans="1:9" ht="19.5" customHeight="1" x14ac:dyDescent="0.45">
      <c r="A28" s="10">
        <v>25</v>
      </c>
      <c r="B28" s="10" t="s">
        <v>85</v>
      </c>
      <c r="C28" s="11">
        <v>0</v>
      </c>
      <c r="D28" s="11">
        <v>1</v>
      </c>
      <c r="E28" s="11">
        <v>1</v>
      </c>
      <c r="F28" s="11">
        <f t="shared" si="0"/>
        <v>2</v>
      </c>
      <c r="G28" s="18"/>
      <c r="H28" s="15">
        <f t="shared" si="1"/>
        <v>2</v>
      </c>
      <c r="I28" s="20"/>
    </row>
    <row r="29" spans="1:9" ht="19.5" customHeight="1" x14ac:dyDescent="0.45">
      <c r="A29" s="10">
        <v>26</v>
      </c>
      <c r="B29" s="10" t="s">
        <v>46</v>
      </c>
      <c r="C29" s="11">
        <v>36</v>
      </c>
      <c r="D29" s="11">
        <v>0</v>
      </c>
      <c r="E29" s="11">
        <v>0</v>
      </c>
      <c r="F29" s="11">
        <f t="shared" si="0"/>
        <v>36</v>
      </c>
      <c r="G29" s="18"/>
      <c r="H29" s="15">
        <f t="shared" si="1"/>
        <v>36</v>
      </c>
      <c r="I29" s="20"/>
    </row>
    <row r="30" spans="1:9" ht="19.5" customHeight="1" x14ac:dyDescent="0.45">
      <c r="A30" s="10">
        <v>27</v>
      </c>
      <c r="B30" s="10" t="s">
        <v>15</v>
      </c>
      <c r="C30" s="11">
        <v>2</v>
      </c>
      <c r="D30" s="11">
        <v>0</v>
      </c>
      <c r="E30" s="11">
        <v>0</v>
      </c>
      <c r="F30" s="11">
        <f t="shared" si="0"/>
        <v>2</v>
      </c>
      <c r="G30" s="18"/>
      <c r="H30" s="15">
        <f t="shared" si="1"/>
        <v>2</v>
      </c>
      <c r="I30" s="20"/>
    </row>
    <row r="31" spans="1:9" ht="19.5" customHeight="1" x14ac:dyDescent="0.45">
      <c r="A31" s="10">
        <v>28</v>
      </c>
      <c r="B31" s="10" t="s">
        <v>41</v>
      </c>
      <c r="C31" s="11">
        <v>3</v>
      </c>
      <c r="D31" s="11">
        <v>0</v>
      </c>
      <c r="E31" s="11">
        <v>0</v>
      </c>
      <c r="F31" s="11">
        <f t="shared" si="0"/>
        <v>3</v>
      </c>
      <c r="G31" s="18"/>
      <c r="H31" s="15">
        <f t="shared" si="1"/>
        <v>3</v>
      </c>
      <c r="I31" s="20"/>
    </row>
    <row r="32" spans="1:9" ht="19.5" customHeight="1" x14ac:dyDescent="0.45">
      <c r="A32" s="10">
        <v>29</v>
      </c>
      <c r="B32" s="10" t="s">
        <v>59</v>
      </c>
      <c r="C32" s="11">
        <v>2</v>
      </c>
      <c r="D32" s="11">
        <v>0</v>
      </c>
      <c r="E32" s="11">
        <v>0</v>
      </c>
      <c r="F32" s="11">
        <f t="shared" si="0"/>
        <v>2</v>
      </c>
      <c r="G32" s="18"/>
      <c r="H32" s="15">
        <f t="shared" si="1"/>
        <v>2</v>
      </c>
      <c r="I32" s="20"/>
    </row>
    <row r="33" spans="1:9" ht="19.5" customHeight="1" x14ac:dyDescent="0.45">
      <c r="A33" s="10">
        <v>30</v>
      </c>
      <c r="B33" s="10" t="s">
        <v>72</v>
      </c>
      <c r="C33" s="11">
        <v>0</v>
      </c>
      <c r="D33" s="11">
        <v>0</v>
      </c>
      <c r="E33" s="11">
        <v>2</v>
      </c>
      <c r="F33" s="11">
        <f t="shared" si="0"/>
        <v>2</v>
      </c>
      <c r="G33" s="18"/>
      <c r="H33" s="15">
        <f t="shared" si="1"/>
        <v>2</v>
      </c>
      <c r="I33" s="20"/>
    </row>
    <row r="34" spans="1:9" ht="19.5" customHeight="1" x14ac:dyDescent="0.45">
      <c r="A34" s="10">
        <v>31</v>
      </c>
      <c r="B34" s="10" t="s">
        <v>77</v>
      </c>
      <c r="C34" s="11">
        <v>0</v>
      </c>
      <c r="D34" s="11">
        <v>0</v>
      </c>
      <c r="E34" s="11">
        <v>30</v>
      </c>
      <c r="F34" s="11">
        <f t="shared" si="0"/>
        <v>30</v>
      </c>
      <c r="G34" s="18"/>
      <c r="H34" s="15">
        <f t="shared" si="1"/>
        <v>30</v>
      </c>
      <c r="I34" s="20"/>
    </row>
    <row r="35" spans="1:9" x14ac:dyDescent="0.45">
      <c r="A35" s="10">
        <v>32</v>
      </c>
      <c r="B35" s="10" t="s">
        <v>74</v>
      </c>
      <c r="C35" s="11">
        <v>0</v>
      </c>
      <c r="D35" s="11">
        <v>0</v>
      </c>
      <c r="E35" s="11">
        <v>100</v>
      </c>
      <c r="F35" s="11">
        <f t="shared" si="0"/>
        <v>100</v>
      </c>
      <c r="G35" s="18"/>
      <c r="H35" s="15">
        <f t="shared" si="1"/>
        <v>100</v>
      </c>
      <c r="I35" s="20"/>
    </row>
    <row r="36" spans="1:9" x14ac:dyDescent="0.45">
      <c r="A36" s="10">
        <v>33</v>
      </c>
      <c r="B36" s="10" t="s">
        <v>12</v>
      </c>
      <c r="C36" s="11">
        <v>2</v>
      </c>
      <c r="D36" s="11">
        <v>0</v>
      </c>
      <c r="E36" s="11">
        <v>0</v>
      </c>
      <c r="F36" s="11">
        <f t="shared" ref="F36:F67" si="2">C36+D36+E36</f>
        <v>2</v>
      </c>
      <c r="G36" s="18"/>
      <c r="H36" s="15">
        <f t="shared" ref="H36:H67" si="3">F36-G36</f>
        <v>2</v>
      </c>
      <c r="I36" s="20"/>
    </row>
    <row r="37" spans="1:9" x14ac:dyDescent="0.45">
      <c r="A37" s="10">
        <v>34</v>
      </c>
      <c r="B37" s="10" t="s">
        <v>43</v>
      </c>
      <c r="C37" s="11">
        <v>6</v>
      </c>
      <c r="D37" s="11">
        <v>0</v>
      </c>
      <c r="E37" s="11">
        <v>0</v>
      </c>
      <c r="F37" s="11">
        <f t="shared" si="2"/>
        <v>6</v>
      </c>
      <c r="G37" s="18"/>
      <c r="H37" s="15">
        <f t="shared" si="3"/>
        <v>6</v>
      </c>
      <c r="I37" s="20"/>
    </row>
    <row r="38" spans="1:9" x14ac:dyDescent="0.45">
      <c r="A38" s="10">
        <v>35</v>
      </c>
      <c r="B38" s="10" t="s">
        <v>25</v>
      </c>
      <c r="C38" s="11">
        <v>1</v>
      </c>
      <c r="D38" s="11">
        <v>0</v>
      </c>
      <c r="E38" s="11">
        <v>0</v>
      </c>
      <c r="F38" s="11">
        <f t="shared" si="2"/>
        <v>1</v>
      </c>
      <c r="G38" s="18"/>
      <c r="H38" s="15">
        <f t="shared" si="3"/>
        <v>1</v>
      </c>
      <c r="I38" s="20"/>
    </row>
    <row r="39" spans="1:9" x14ac:dyDescent="0.45">
      <c r="A39" s="10">
        <v>36</v>
      </c>
      <c r="B39" s="10" t="s">
        <v>52</v>
      </c>
      <c r="C39" s="11">
        <v>1</v>
      </c>
      <c r="D39" s="11">
        <v>0</v>
      </c>
      <c r="E39" s="11">
        <v>0</v>
      </c>
      <c r="F39" s="11">
        <f t="shared" si="2"/>
        <v>1</v>
      </c>
      <c r="G39" s="18"/>
      <c r="H39" s="15">
        <f t="shared" si="3"/>
        <v>1</v>
      </c>
      <c r="I39" s="20"/>
    </row>
    <row r="40" spans="1:9" x14ac:dyDescent="0.45">
      <c r="A40" s="10">
        <v>37</v>
      </c>
      <c r="B40" s="10" t="s">
        <v>44</v>
      </c>
      <c r="C40" s="11">
        <v>2</v>
      </c>
      <c r="D40" s="11">
        <v>0</v>
      </c>
      <c r="E40" s="11">
        <v>0</v>
      </c>
      <c r="F40" s="11">
        <f t="shared" si="2"/>
        <v>2</v>
      </c>
      <c r="G40" s="18"/>
      <c r="H40" s="15">
        <f t="shared" si="3"/>
        <v>2</v>
      </c>
      <c r="I40" s="20"/>
    </row>
    <row r="41" spans="1:9" x14ac:dyDescent="0.45">
      <c r="A41" s="10">
        <v>38</v>
      </c>
      <c r="B41" s="10" t="s">
        <v>53</v>
      </c>
      <c r="C41" s="11">
        <v>1</v>
      </c>
      <c r="D41" s="11">
        <v>0</v>
      </c>
      <c r="E41" s="11">
        <v>0</v>
      </c>
      <c r="F41" s="11">
        <f t="shared" si="2"/>
        <v>1</v>
      </c>
      <c r="G41" s="18"/>
      <c r="H41" s="15">
        <f t="shared" si="3"/>
        <v>1</v>
      </c>
      <c r="I41" s="20"/>
    </row>
    <row r="42" spans="1:9" x14ac:dyDescent="0.45">
      <c r="A42" s="10">
        <v>39</v>
      </c>
      <c r="B42" s="10" t="s">
        <v>58</v>
      </c>
      <c r="C42" s="11">
        <v>8</v>
      </c>
      <c r="D42" s="11">
        <v>10</v>
      </c>
      <c r="E42" s="11">
        <v>0</v>
      </c>
      <c r="F42" s="11">
        <f t="shared" si="2"/>
        <v>18</v>
      </c>
      <c r="G42" s="18"/>
      <c r="H42" s="15">
        <f t="shared" si="3"/>
        <v>18</v>
      </c>
      <c r="I42" s="20"/>
    </row>
    <row r="43" spans="1:9" x14ac:dyDescent="0.45">
      <c r="A43" s="10">
        <v>40</v>
      </c>
      <c r="B43" s="10" t="s">
        <v>20</v>
      </c>
      <c r="C43" s="11">
        <v>2</v>
      </c>
      <c r="D43" s="11">
        <v>0</v>
      </c>
      <c r="E43" s="11">
        <v>0</v>
      </c>
      <c r="F43" s="11">
        <f t="shared" si="2"/>
        <v>2</v>
      </c>
      <c r="G43" s="18"/>
      <c r="H43" s="15">
        <f t="shared" si="3"/>
        <v>2</v>
      </c>
      <c r="I43" s="20"/>
    </row>
    <row r="44" spans="1:9" x14ac:dyDescent="0.45">
      <c r="A44" s="10">
        <v>41</v>
      </c>
      <c r="B44" s="10" t="s">
        <v>48</v>
      </c>
      <c r="C44" s="11">
        <v>1</v>
      </c>
      <c r="D44" s="11">
        <v>0</v>
      </c>
      <c r="E44" s="11">
        <v>0</v>
      </c>
      <c r="F44" s="11">
        <f t="shared" si="2"/>
        <v>1</v>
      </c>
      <c r="G44" s="18"/>
      <c r="H44" s="15">
        <f t="shared" si="3"/>
        <v>1</v>
      </c>
      <c r="I44" s="20"/>
    </row>
    <row r="45" spans="1:9" x14ac:dyDescent="0.45">
      <c r="A45" s="10">
        <v>42</v>
      </c>
      <c r="B45" s="10" t="s">
        <v>78</v>
      </c>
      <c r="C45" s="11">
        <v>70</v>
      </c>
      <c r="D45" s="11">
        <v>71</v>
      </c>
      <c r="E45" s="11">
        <v>70</v>
      </c>
      <c r="F45" s="11">
        <f t="shared" si="2"/>
        <v>211</v>
      </c>
      <c r="G45" s="18"/>
      <c r="H45" s="15">
        <f t="shared" si="3"/>
        <v>211</v>
      </c>
      <c r="I45" s="20"/>
    </row>
    <row r="46" spans="1:9" x14ac:dyDescent="0.45">
      <c r="A46" s="10">
        <v>43</v>
      </c>
      <c r="B46" s="10" t="s">
        <v>82</v>
      </c>
      <c r="C46" s="11">
        <v>0</v>
      </c>
      <c r="D46" s="11">
        <v>0</v>
      </c>
      <c r="E46" s="11">
        <v>6</v>
      </c>
      <c r="F46" s="11">
        <f t="shared" si="2"/>
        <v>6</v>
      </c>
      <c r="G46" s="18"/>
      <c r="H46" s="15">
        <f t="shared" si="3"/>
        <v>6</v>
      </c>
      <c r="I46" s="20"/>
    </row>
    <row r="47" spans="1:9" x14ac:dyDescent="0.45">
      <c r="A47" s="10">
        <v>44</v>
      </c>
      <c r="B47" s="10" t="s">
        <v>8</v>
      </c>
      <c r="C47" s="11">
        <v>13</v>
      </c>
      <c r="D47" s="11">
        <v>0</v>
      </c>
      <c r="E47" s="11">
        <v>0</v>
      </c>
      <c r="F47" s="11">
        <f t="shared" si="2"/>
        <v>13</v>
      </c>
      <c r="G47" s="18"/>
      <c r="H47" s="15">
        <f t="shared" si="3"/>
        <v>13</v>
      </c>
      <c r="I47" s="20"/>
    </row>
    <row r="48" spans="1:9" x14ac:dyDescent="0.45">
      <c r="A48" s="10">
        <v>45</v>
      </c>
      <c r="B48" s="10" t="s">
        <v>16</v>
      </c>
      <c r="C48" s="11">
        <v>1</v>
      </c>
      <c r="D48" s="11">
        <v>0</v>
      </c>
      <c r="E48" s="11">
        <v>1</v>
      </c>
      <c r="F48" s="11">
        <f t="shared" si="2"/>
        <v>2</v>
      </c>
      <c r="G48" s="18"/>
      <c r="H48" s="15">
        <f t="shared" si="3"/>
        <v>2</v>
      </c>
      <c r="I48" s="20"/>
    </row>
    <row r="49" spans="1:9" x14ac:dyDescent="0.45">
      <c r="A49" s="10">
        <v>46</v>
      </c>
      <c r="B49" s="10" t="s">
        <v>88</v>
      </c>
      <c r="C49" s="11">
        <v>1</v>
      </c>
      <c r="D49" s="11">
        <v>2</v>
      </c>
      <c r="E49" s="11">
        <v>4</v>
      </c>
      <c r="F49" s="11">
        <f t="shared" si="2"/>
        <v>7</v>
      </c>
      <c r="G49" s="18"/>
      <c r="H49" s="15">
        <f t="shared" si="3"/>
        <v>7</v>
      </c>
      <c r="I49" s="20"/>
    </row>
    <row r="50" spans="1:9" x14ac:dyDescent="0.45">
      <c r="A50" s="10">
        <v>47</v>
      </c>
      <c r="B50" s="10" t="s">
        <v>80</v>
      </c>
      <c r="C50" s="11">
        <v>0</v>
      </c>
      <c r="D50" s="11">
        <v>0</v>
      </c>
      <c r="E50" s="11">
        <v>40</v>
      </c>
      <c r="F50" s="11">
        <f t="shared" si="2"/>
        <v>40</v>
      </c>
      <c r="G50" s="18"/>
      <c r="H50" s="15">
        <f t="shared" si="3"/>
        <v>40</v>
      </c>
      <c r="I50" s="20"/>
    </row>
    <row r="51" spans="1:9" x14ac:dyDescent="0.45">
      <c r="A51" s="10">
        <v>48</v>
      </c>
      <c r="B51" s="10" t="s">
        <v>86</v>
      </c>
      <c r="C51" s="11">
        <v>0</v>
      </c>
      <c r="D51" s="11">
        <v>1</v>
      </c>
      <c r="E51" s="11">
        <v>0</v>
      </c>
      <c r="F51" s="11">
        <f t="shared" si="2"/>
        <v>1</v>
      </c>
      <c r="G51" s="18"/>
      <c r="H51" s="15">
        <f t="shared" si="3"/>
        <v>1</v>
      </c>
      <c r="I51" s="20"/>
    </row>
    <row r="52" spans="1:9" x14ac:dyDescent="0.45">
      <c r="A52" s="10">
        <v>49</v>
      </c>
      <c r="B52" s="10" t="s">
        <v>56</v>
      </c>
      <c r="C52" s="11">
        <v>1</v>
      </c>
      <c r="D52" s="11">
        <v>0</v>
      </c>
      <c r="E52" s="11">
        <v>0</v>
      </c>
      <c r="F52" s="11">
        <f t="shared" si="2"/>
        <v>1</v>
      </c>
      <c r="G52" s="18"/>
      <c r="H52" s="15">
        <f t="shared" si="3"/>
        <v>1</v>
      </c>
      <c r="I52" s="20"/>
    </row>
    <row r="53" spans="1:9" x14ac:dyDescent="0.45">
      <c r="A53" s="10">
        <v>50</v>
      </c>
      <c r="B53" s="10" t="s">
        <v>6</v>
      </c>
      <c r="C53" s="11">
        <v>8</v>
      </c>
      <c r="D53" s="11">
        <v>0</v>
      </c>
      <c r="E53" s="11">
        <v>0</v>
      </c>
      <c r="F53" s="11">
        <f t="shared" si="2"/>
        <v>8</v>
      </c>
      <c r="G53" s="18"/>
      <c r="H53" s="15">
        <f t="shared" si="3"/>
        <v>8</v>
      </c>
      <c r="I53" s="20"/>
    </row>
    <row r="54" spans="1:9" x14ac:dyDescent="0.45">
      <c r="A54" s="10">
        <v>51</v>
      </c>
      <c r="B54" s="10" t="s">
        <v>45</v>
      </c>
      <c r="C54" s="11">
        <v>116</v>
      </c>
      <c r="D54" s="11">
        <v>0</v>
      </c>
      <c r="E54" s="11">
        <v>0</v>
      </c>
      <c r="F54" s="11">
        <f t="shared" si="2"/>
        <v>116</v>
      </c>
      <c r="G54" s="18"/>
      <c r="H54" s="15">
        <f t="shared" si="3"/>
        <v>116</v>
      </c>
      <c r="I54" s="20"/>
    </row>
    <row r="55" spans="1:9" x14ac:dyDescent="0.45">
      <c r="A55" s="10">
        <v>52</v>
      </c>
      <c r="B55" s="10" t="s">
        <v>19</v>
      </c>
      <c r="C55" s="11">
        <v>18</v>
      </c>
      <c r="D55" s="11">
        <v>0</v>
      </c>
      <c r="E55" s="11">
        <v>0</v>
      </c>
      <c r="F55" s="11">
        <f t="shared" si="2"/>
        <v>18</v>
      </c>
      <c r="G55" s="18"/>
      <c r="H55" s="15">
        <f t="shared" si="3"/>
        <v>18</v>
      </c>
      <c r="I55" s="20"/>
    </row>
    <row r="56" spans="1:9" x14ac:dyDescent="0.45">
      <c r="A56" s="10">
        <v>53</v>
      </c>
      <c r="B56" s="10" t="s">
        <v>70</v>
      </c>
      <c r="C56" s="11">
        <v>0</v>
      </c>
      <c r="D56" s="11">
        <v>0</v>
      </c>
      <c r="E56" s="11">
        <v>30</v>
      </c>
      <c r="F56" s="11">
        <f t="shared" si="2"/>
        <v>30</v>
      </c>
      <c r="G56" s="18"/>
      <c r="H56" s="15">
        <f t="shared" si="3"/>
        <v>30</v>
      </c>
      <c r="I56" s="20"/>
    </row>
    <row r="57" spans="1:9" x14ac:dyDescent="0.45">
      <c r="A57" s="10">
        <v>54</v>
      </c>
      <c r="B57" s="10" t="s">
        <v>47</v>
      </c>
      <c r="C57" s="11">
        <v>1</v>
      </c>
      <c r="D57" s="11">
        <v>0</v>
      </c>
      <c r="E57" s="11">
        <v>4</v>
      </c>
      <c r="F57" s="11">
        <f t="shared" si="2"/>
        <v>5</v>
      </c>
      <c r="G57" s="18"/>
      <c r="H57" s="15">
        <f t="shared" si="3"/>
        <v>5</v>
      </c>
      <c r="I57" s="20"/>
    </row>
    <row r="58" spans="1:9" x14ac:dyDescent="0.45">
      <c r="A58" s="10">
        <v>55</v>
      </c>
      <c r="B58" s="10" t="s">
        <v>50</v>
      </c>
      <c r="C58" s="11">
        <v>7</v>
      </c>
      <c r="D58" s="11">
        <v>0</v>
      </c>
      <c r="E58" s="11">
        <v>5</v>
      </c>
      <c r="F58" s="11">
        <f t="shared" si="2"/>
        <v>12</v>
      </c>
      <c r="G58" s="18"/>
      <c r="H58" s="15">
        <f t="shared" si="3"/>
        <v>12</v>
      </c>
      <c r="I58" s="20"/>
    </row>
    <row r="59" spans="1:9" x14ac:dyDescent="0.45">
      <c r="A59" s="10">
        <v>56</v>
      </c>
      <c r="B59" s="10" t="s">
        <v>36</v>
      </c>
      <c r="C59" s="11">
        <v>62</v>
      </c>
      <c r="D59" s="11">
        <v>9</v>
      </c>
      <c r="E59" s="11">
        <v>9</v>
      </c>
      <c r="F59" s="11">
        <f t="shared" si="2"/>
        <v>80</v>
      </c>
      <c r="G59" s="18"/>
      <c r="H59" s="15">
        <f t="shared" si="3"/>
        <v>80</v>
      </c>
      <c r="I59" s="20"/>
    </row>
    <row r="60" spans="1:9" x14ac:dyDescent="0.45">
      <c r="A60" s="10">
        <v>57</v>
      </c>
      <c r="B60" s="10" t="s">
        <v>31</v>
      </c>
      <c r="C60" s="11">
        <v>48</v>
      </c>
      <c r="D60" s="11">
        <v>0</v>
      </c>
      <c r="E60" s="11">
        <v>0</v>
      </c>
      <c r="F60" s="11">
        <f t="shared" si="2"/>
        <v>48</v>
      </c>
      <c r="G60" s="18"/>
      <c r="H60" s="15">
        <f t="shared" si="3"/>
        <v>48</v>
      </c>
      <c r="I60" s="20"/>
    </row>
    <row r="61" spans="1:9" x14ac:dyDescent="0.45">
      <c r="A61" s="10">
        <v>58</v>
      </c>
      <c r="B61" s="10" t="s">
        <v>14</v>
      </c>
      <c r="C61" s="11">
        <v>10</v>
      </c>
      <c r="D61" s="11">
        <v>0</v>
      </c>
      <c r="E61" s="11">
        <v>0</v>
      </c>
      <c r="F61" s="11">
        <f t="shared" si="2"/>
        <v>10</v>
      </c>
      <c r="G61" s="18"/>
      <c r="H61" s="15">
        <f t="shared" si="3"/>
        <v>10</v>
      </c>
      <c r="I61" s="20"/>
    </row>
    <row r="62" spans="1:9" x14ac:dyDescent="0.45">
      <c r="A62" s="10">
        <v>59</v>
      </c>
      <c r="B62" s="10" t="s">
        <v>79</v>
      </c>
      <c r="C62" s="11">
        <v>0</v>
      </c>
      <c r="D62" s="11">
        <v>0</v>
      </c>
      <c r="E62" s="11">
        <v>10</v>
      </c>
      <c r="F62" s="11">
        <f t="shared" si="2"/>
        <v>10</v>
      </c>
      <c r="G62" s="18"/>
      <c r="H62" s="15">
        <f t="shared" si="3"/>
        <v>10</v>
      </c>
      <c r="I62" s="20"/>
    </row>
    <row r="63" spans="1:9" x14ac:dyDescent="0.45">
      <c r="A63" s="10">
        <v>60</v>
      </c>
      <c r="B63" s="10" t="s">
        <v>24</v>
      </c>
      <c r="C63" s="11">
        <v>50</v>
      </c>
      <c r="D63" s="11">
        <v>0</v>
      </c>
      <c r="E63" s="11">
        <v>0</v>
      </c>
      <c r="F63" s="11">
        <f t="shared" si="2"/>
        <v>50</v>
      </c>
      <c r="G63" s="18"/>
      <c r="H63" s="15">
        <f t="shared" si="3"/>
        <v>50</v>
      </c>
      <c r="I63" s="20"/>
    </row>
    <row r="64" spans="1:9" x14ac:dyDescent="0.45">
      <c r="A64" s="10">
        <v>61</v>
      </c>
      <c r="B64" s="10" t="s">
        <v>69</v>
      </c>
      <c r="C64" s="11">
        <v>300</v>
      </c>
      <c r="D64" s="11">
        <v>90</v>
      </c>
      <c r="E64" s="11">
        <v>265</v>
      </c>
      <c r="F64" s="11">
        <f t="shared" si="2"/>
        <v>655</v>
      </c>
      <c r="G64" s="18"/>
      <c r="H64" s="15">
        <f t="shared" si="3"/>
        <v>655</v>
      </c>
      <c r="I64" s="20"/>
    </row>
    <row r="65" spans="1:9" x14ac:dyDescent="0.45">
      <c r="A65" s="10">
        <v>62</v>
      </c>
      <c r="B65" s="10" t="s">
        <v>2</v>
      </c>
      <c r="C65" s="11">
        <v>143</v>
      </c>
      <c r="D65" s="11">
        <v>0</v>
      </c>
      <c r="E65" s="11">
        <v>465</v>
      </c>
      <c r="F65" s="11">
        <f t="shared" si="2"/>
        <v>608</v>
      </c>
      <c r="G65" s="19"/>
      <c r="H65" s="15">
        <f t="shared" si="3"/>
        <v>608</v>
      </c>
      <c r="I65" s="20"/>
    </row>
    <row r="66" spans="1:9" x14ac:dyDescent="0.45">
      <c r="A66" s="10">
        <v>63</v>
      </c>
      <c r="B66" s="10" t="s">
        <v>3</v>
      </c>
      <c r="C66" s="11">
        <v>132</v>
      </c>
      <c r="D66" s="11">
        <v>0</v>
      </c>
      <c r="E66" s="11">
        <v>0</v>
      </c>
      <c r="F66" s="11">
        <f t="shared" si="2"/>
        <v>132</v>
      </c>
      <c r="G66" s="18"/>
      <c r="H66" s="15">
        <f t="shared" si="3"/>
        <v>132</v>
      </c>
      <c r="I66" s="20"/>
    </row>
    <row r="67" spans="1:9" x14ac:dyDescent="0.45">
      <c r="A67" s="10">
        <v>64</v>
      </c>
      <c r="B67" s="10" t="s">
        <v>32</v>
      </c>
      <c r="C67" s="11">
        <v>1</v>
      </c>
      <c r="D67" s="11">
        <v>0</v>
      </c>
      <c r="E67" s="11">
        <v>0</v>
      </c>
      <c r="F67" s="11">
        <f t="shared" si="2"/>
        <v>1</v>
      </c>
      <c r="G67" s="18"/>
      <c r="H67" s="15">
        <f t="shared" si="3"/>
        <v>1</v>
      </c>
      <c r="I67" s="20"/>
    </row>
    <row r="68" spans="1:9" x14ac:dyDescent="0.45">
      <c r="A68" s="10">
        <v>65</v>
      </c>
      <c r="B68" s="10" t="s">
        <v>17</v>
      </c>
      <c r="C68" s="11">
        <v>1</v>
      </c>
      <c r="D68" s="11">
        <v>0</v>
      </c>
      <c r="E68" s="11">
        <v>0</v>
      </c>
      <c r="F68" s="11">
        <f t="shared" ref="F68:F76" si="4">C68+D68+E68</f>
        <v>1</v>
      </c>
      <c r="G68" s="18"/>
      <c r="H68" s="15">
        <f t="shared" ref="H68:H76" si="5">F68-G68</f>
        <v>1</v>
      </c>
      <c r="I68" s="20"/>
    </row>
    <row r="69" spans="1:9" x14ac:dyDescent="0.45">
      <c r="A69" s="10">
        <v>66</v>
      </c>
      <c r="B69" s="10" t="s">
        <v>4</v>
      </c>
      <c r="C69" s="11">
        <v>101</v>
      </c>
      <c r="D69" s="11">
        <v>0</v>
      </c>
      <c r="E69" s="11">
        <v>0</v>
      </c>
      <c r="F69" s="11">
        <f t="shared" si="4"/>
        <v>101</v>
      </c>
      <c r="G69" s="18"/>
      <c r="H69" s="15">
        <f t="shared" si="5"/>
        <v>101</v>
      </c>
      <c r="I69" s="20"/>
    </row>
    <row r="70" spans="1:9" x14ac:dyDescent="0.45">
      <c r="A70" s="10">
        <v>67</v>
      </c>
      <c r="B70" s="10" t="s">
        <v>5</v>
      </c>
      <c r="C70" s="11">
        <v>55</v>
      </c>
      <c r="D70" s="11">
        <v>0</v>
      </c>
      <c r="E70" s="11">
        <v>0</v>
      </c>
      <c r="F70" s="11">
        <f t="shared" si="4"/>
        <v>55</v>
      </c>
      <c r="G70" s="18"/>
      <c r="H70" s="15">
        <f t="shared" si="5"/>
        <v>55</v>
      </c>
      <c r="I70" s="20"/>
    </row>
    <row r="71" spans="1:9" x14ac:dyDescent="0.45">
      <c r="A71" s="10">
        <v>68</v>
      </c>
      <c r="B71" s="10" t="s">
        <v>33</v>
      </c>
      <c r="C71" s="11">
        <v>1</v>
      </c>
      <c r="D71" s="11">
        <v>0</v>
      </c>
      <c r="E71" s="11">
        <v>0</v>
      </c>
      <c r="F71" s="11">
        <f t="shared" si="4"/>
        <v>1</v>
      </c>
      <c r="G71" s="18"/>
      <c r="H71" s="15">
        <f t="shared" si="5"/>
        <v>1</v>
      </c>
      <c r="I71" s="20"/>
    </row>
    <row r="72" spans="1:9" x14ac:dyDescent="0.45">
      <c r="A72" s="10">
        <v>69</v>
      </c>
      <c r="B72" s="10" t="s">
        <v>81</v>
      </c>
      <c r="C72" s="11">
        <v>0</v>
      </c>
      <c r="D72" s="11">
        <v>0</v>
      </c>
      <c r="E72" s="11">
        <v>18</v>
      </c>
      <c r="F72" s="11">
        <f t="shared" si="4"/>
        <v>18</v>
      </c>
      <c r="G72" s="18"/>
      <c r="H72" s="15">
        <f t="shared" si="5"/>
        <v>18</v>
      </c>
      <c r="I72" s="20"/>
    </row>
    <row r="73" spans="1:9" x14ac:dyDescent="0.45">
      <c r="A73" s="10">
        <v>70</v>
      </c>
      <c r="B73" s="10" t="s">
        <v>89</v>
      </c>
      <c r="C73" s="11">
        <v>0</v>
      </c>
      <c r="D73" s="11">
        <v>5</v>
      </c>
      <c r="E73" s="11">
        <v>0</v>
      </c>
      <c r="F73" s="11">
        <f t="shared" si="4"/>
        <v>5</v>
      </c>
      <c r="G73" s="18"/>
      <c r="H73" s="15">
        <f t="shared" si="5"/>
        <v>5</v>
      </c>
      <c r="I73" s="20"/>
    </row>
    <row r="74" spans="1:9" x14ac:dyDescent="0.45">
      <c r="A74" s="10">
        <v>71</v>
      </c>
      <c r="B74" s="10" t="s">
        <v>26</v>
      </c>
      <c r="C74" s="11">
        <v>6</v>
      </c>
      <c r="D74" s="11">
        <v>0</v>
      </c>
      <c r="E74" s="11">
        <v>0</v>
      </c>
      <c r="F74" s="11">
        <f t="shared" si="4"/>
        <v>6</v>
      </c>
      <c r="G74" s="18"/>
      <c r="H74" s="15">
        <f t="shared" si="5"/>
        <v>6</v>
      </c>
      <c r="I74" s="20"/>
    </row>
    <row r="75" spans="1:9" x14ac:dyDescent="0.45">
      <c r="A75" s="10">
        <v>72</v>
      </c>
      <c r="B75" s="10" t="s">
        <v>27</v>
      </c>
      <c r="C75" s="11">
        <v>26</v>
      </c>
      <c r="D75" s="11">
        <v>0</v>
      </c>
      <c r="E75" s="11">
        <v>0</v>
      </c>
      <c r="F75" s="11">
        <f t="shared" si="4"/>
        <v>26</v>
      </c>
      <c r="G75" s="18"/>
      <c r="H75" s="15">
        <f t="shared" si="5"/>
        <v>26</v>
      </c>
      <c r="I75" s="20"/>
    </row>
    <row r="76" spans="1:9" x14ac:dyDescent="0.45">
      <c r="A76" s="10">
        <v>73</v>
      </c>
      <c r="B76" s="10" t="s">
        <v>39</v>
      </c>
      <c r="C76" s="11">
        <v>4</v>
      </c>
      <c r="D76" s="11">
        <v>0</v>
      </c>
      <c r="E76" s="11">
        <v>0</v>
      </c>
      <c r="F76" s="11">
        <f t="shared" si="4"/>
        <v>4</v>
      </c>
      <c r="G76" s="18"/>
      <c r="H76" s="15">
        <f t="shared" si="5"/>
        <v>4</v>
      </c>
      <c r="I76" s="20"/>
    </row>
  </sheetData>
  <sheetProtection algorithmName="SHA-512" hashValue="bgNNa9Cf8wIBKgps2NdEMghr7HSXreeVeYzJBKIhw3/SD6/xyYuW9Ts3WXd654nIOTN4Bze6bFoTU0bjPjvMmA==" saltValue="Tnjx5sf+vjZT7Ohz9cmsTA==" spinCount="100000" sheet="1" objects="1" scenarios="1"/>
  <sortState xmlns:xlrd2="http://schemas.microsoft.com/office/spreadsheetml/2017/richdata2" ref="B4:H76">
    <sortCondition ref="B4:B76"/>
  </sortState>
  <mergeCells count="7">
    <mergeCell ref="A1:I1"/>
    <mergeCell ref="I2:I3"/>
    <mergeCell ref="A2:A3"/>
    <mergeCell ref="B2:B3"/>
    <mergeCell ref="F2:F3"/>
    <mergeCell ref="G2:G3"/>
    <mergeCell ref="H2:H3"/>
  </mergeCells>
  <pageMargins left="0.11811023622047245" right="0.11811023622047245" top="0.19685039370078741" bottom="0.15748031496062992" header="0" footer="0"/>
  <pageSetup paperSize="9" scale="76" orientation="landscape" r:id="rId1"/>
  <colBreaks count="1" manualBreakCount="1">
    <brk id="9" max="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3"/>
  <sheetViews>
    <sheetView workbookViewId="0">
      <selection activeCell="L65" sqref="L65"/>
    </sheetView>
  </sheetViews>
  <sheetFormatPr defaultRowHeight="18.5" x14ac:dyDescent="0.45"/>
  <cols>
    <col min="1" max="1" width="8.453125" style="3" bestFit="1" customWidth="1"/>
    <col min="2" max="2" width="64.26953125" style="3" customWidth="1"/>
    <col min="3" max="3" width="21.1796875" style="4" customWidth="1"/>
    <col min="4" max="4" width="20" style="4" customWidth="1"/>
    <col min="5" max="6" width="15.453125" style="4" customWidth="1"/>
    <col min="7" max="7" width="17.81640625" customWidth="1"/>
    <col min="8" max="8" width="9.1796875" style="16"/>
  </cols>
  <sheetData>
    <row r="1" spans="1:8" ht="25.5" customHeight="1" x14ac:dyDescent="0.4">
      <c r="A1" s="27"/>
      <c r="B1" s="27"/>
      <c r="C1" s="27"/>
      <c r="D1" s="27"/>
      <c r="E1" s="27"/>
      <c r="F1" s="27"/>
      <c r="G1" s="27"/>
      <c r="H1" s="27"/>
    </row>
    <row r="2" spans="1:8" ht="52.5" x14ac:dyDescent="0.35">
      <c r="A2" s="26" t="s">
        <v>63</v>
      </c>
      <c r="B2" s="26" t="s">
        <v>1</v>
      </c>
      <c r="C2" s="9" t="s">
        <v>35</v>
      </c>
      <c r="D2" s="9" t="s">
        <v>64</v>
      </c>
      <c r="E2" s="9" t="s">
        <v>65</v>
      </c>
      <c r="F2" s="28" t="s">
        <v>66</v>
      </c>
      <c r="G2" s="26" t="s">
        <v>10</v>
      </c>
      <c r="H2" s="26" t="s">
        <v>11</v>
      </c>
    </row>
    <row r="3" spans="1:8" ht="52.5" x14ac:dyDescent="0.35">
      <c r="A3" s="26"/>
      <c r="B3" s="26"/>
      <c r="C3" s="9" t="s">
        <v>9</v>
      </c>
      <c r="D3" s="9" t="s">
        <v>9</v>
      </c>
      <c r="E3" s="9" t="s">
        <v>9</v>
      </c>
      <c r="F3" s="29"/>
      <c r="G3" s="26"/>
      <c r="H3" s="26"/>
    </row>
    <row r="4" spans="1:8" ht="19.5" customHeight="1" x14ac:dyDescent="0.45">
      <c r="A4" s="10">
        <v>1</v>
      </c>
      <c r="B4" s="10" t="s">
        <v>21</v>
      </c>
      <c r="C4" s="11">
        <v>1</v>
      </c>
      <c r="D4" s="11">
        <v>0</v>
      </c>
      <c r="E4" s="11"/>
      <c r="F4" s="11">
        <f>C4+D4+E4</f>
        <v>1</v>
      </c>
      <c r="G4" s="14"/>
      <c r="H4" s="15">
        <f>F4-G4</f>
        <v>1</v>
      </c>
    </row>
    <row r="5" spans="1:8" ht="19.5" customHeight="1" x14ac:dyDescent="0.45">
      <c r="A5" s="10">
        <v>2</v>
      </c>
      <c r="B5" s="10" t="s">
        <v>57</v>
      </c>
      <c r="C5" s="11">
        <v>26</v>
      </c>
      <c r="D5" s="11">
        <v>0</v>
      </c>
      <c r="E5" s="11"/>
      <c r="F5" s="11">
        <f t="shared" ref="F5:F60" si="0">C5+D5+E5</f>
        <v>26</v>
      </c>
      <c r="G5" s="14"/>
      <c r="H5" s="15">
        <f t="shared" ref="H5:H60" si="1">F5-G5</f>
        <v>26</v>
      </c>
    </row>
    <row r="6" spans="1:8" ht="19.5" customHeight="1" x14ac:dyDescent="0.45">
      <c r="A6" s="10">
        <v>3</v>
      </c>
      <c r="B6" s="10" t="s">
        <v>29</v>
      </c>
      <c r="C6" s="11">
        <v>3</v>
      </c>
      <c r="D6" s="11">
        <v>0</v>
      </c>
      <c r="E6" s="11"/>
      <c r="F6" s="11">
        <f t="shared" si="0"/>
        <v>3</v>
      </c>
      <c r="G6" s="14"/>
      <c r="H6" s="15">
        <f t="shared" si="1"/>
        <v>3</v>
      </c>
    </row>
    <row r="7" spans="1:8" ht="19.5" customHeight="1" x14ac:dyDescent="0.45">
      <c r="A7" s="10">
        <v>4</v>
      </c>
      <c r="B7" s="10" t="s">
        <v>30</v>
      </c>
      <c r="C7" s="11">
        <v>4</v>
      </c>
      <c r="D7" s="11">
        <v>0</v>
      </c>
      <c r="E7" s="11"/>
      <c r="F7" s="11">
        <f t="shared" si="0"/>
        <v>4</v>
      </c>
      <c r="G7" s="14"/>
      <c r="H7" s="15">
        <f t="shared" si="1"/>
        <v>4</v>
      </c>
    </row>
    <row r="8" spans="1:8" ht="19.5" customHeight="1" x14ac:dyDescent="0.45">
      <c r="A8" s="10">
        <v>5</v>
      </c>
      <c r="B8" s="10" t="s">
        <v>28</v>
      </c>
      <c r="C8" s="11">
        <v>3</v>
      </c>
      <c r="D8" s="11">
        <v>0</v>
      </c>
      <c r="E8" s="11"/>
      <c r="F8" s="11">
        <f t="shared" si="0"/>
        <v>3</v>
      </c>
      <c r="G8" s="14"/>
      <c r="H8" s="15">
        <f t="shared" si="1"/>
        <v>3</v>
      </c>
    </row>
    <row r="9" spans="1:8" ht="19.5" customHeight="1" x14ac:dyDescent="0.45">
      <c r="A9" s="10">
        <v>6</v>
      </c>
      <c r="B9" s="10" t="s">
        <v>37</v>
      </c>
      <c r="C9" s="11">
        <v>1</v>
      </c>
      <c r="D9" s="11">
        <v>0</v>
      </c>
      <c r="E9" s="11"/>
      <c r="F9" s="11">
        <f t="shared" si="0"/>
        <v>1</v>
      </c>
      <c r="G9" s="14"/>
      <c r="H9" s="15">
        <f t="shared" si="1"/>
        <v>1</v>
      </c>
    </row>
    <row r="10" spans="1:8" ht="19.5" customHeight="1" x14ac:dyDescent="0.45">
      <c r="A10" s="10">
        <v>7</v>
      </c>
      <c r="B10" s="10" t="s">
        <v>55</v>
      </c>
      <c r="C10" s="11">
        <v>2</v>
      </c>
      <c r="D10" s="11">
        <v>0</v>
      </c>
      <c r="E10" s="11"/>
      <c r="F10" s="11">
        <f t="shared" si="0"/>
        <v>2</v>
      </c>
      <c r="G10" s="14"/>
      <c r="H10" s="15">
        <f t="shared" si="1"/>
        <v>2</v>
      </c>
    </row>
    <row r="11" spans="1:8" ht="19.5" customHeight="1" x14ac:dyDescent="0.45">
      <c r="A11" s="10">
        <v>8</v>
      </c>
      <c r="B11" s="10" t="s">
        <v>60</v>
      </c>
      <c r="C11" s="11">
        <v>2</v>
      </c>
      <c r="D11" s="11">
        <v>0</v>
      </c>
      <c r="E11" s="11"/>
      <c r="F11" s="11">
        <f t="shared" si="0"/>
        <v>2</v>
      </c>
      <c r="G11" s="14"/>
      <c r="H11" s="15">
        <f t="shared" si="1"/>
        <v>2</v>
      </c>
    </row>
    <row r="12" spans="1:8" ht="19.5" customHeight="1" x14ac:dyDescent="0.45">
      <c r="A12" s="10">
        <v>9</v>
      </c>
      <c r="B12" s="10" t="s">
        <v>22</v>
      </c>
      <c r="C12" s="11">
        <v>6</v>
      </c>
      <c r="D12" s="11">
        <v>6</v>
      </c>
      <c r="E12" s="11"/>
      <c r="F12" s="11">
        <f t="shared" si="0"/>
        <v>12</v>
      </c>
      <c r="G12" s="14"/>
      <c r="H12" s="15">
        <f t="shared" si="1"/>
        <v>12</v>
      </c>
    </row>
    <row r="13" spans="1:8" ht="19.5" customHeight="1" x14ac:dyDescent="0.45">
      <c r="A13" s="10">
        <v>10</v>
      </c>
      <c r="B13" s="10" t="s">
        <v>13</v>
      </c>
      <c r="C13" s="11">
        <v>3</v>
      </c>
      <c r="D13" s="11">
        <v>0</v>
      </c>
      <c r="E13" s="11"/>
      <c r="F13" s="11">
        <f t="shared" si="0"/>
        <v>3</v>
      </c>
      <c r="G13" s="14"/>
      <c r="H13" s="15">
        <f t="shared" si="1"/>
        <v>3</v>
      </c>
    </row>
    <row r="14" spans="1:8" ht="19.5" customHeight="1" x14ac:dyDescent="0.45">
      <c r="A14" s="10">
        <v>11</v>
      </c>
      <c r="B14" s="10" t="s">
        <v>42</v>
      </c>
      <c r="C14" s="11">
        <v>15</v>
      </c>
      <c r="D14" s="11">
        <v>0</v>
      </c>
      <c r="E14" s="11"/>
      <c r="F14" s="11">
        <f t="shared" si="0"/>
        <v>15</v>
      </c>
      <c r="G14" s="14"/>
      <c r="H14" s="15">
        <f t="shared" si="1"/>
        <v>15</v>
      </c>
    </row>
    <row r="15" spans="1:8" ht="19.5" customHeight="1" x14ac:dyDescent="0.45">
      <c r="A15" s="10">
        <v>12</v>
      </c>
      <c r="B15" s="10" t="s">
        <v>49</v>
      </c>
      <c r="C15" s="11">
        <v>15</v>
      </c>
      <c r="D15" s="11">
        <v>0</v>
      </c>
      <c r="E15" s="11"/>
      <c r="F15" s="11">
        <f t="shared" si="0"/>
        <v>15</v>
      </c>
      <c r="G15" s="14"/>
      <c r="H15" s="15">
        <f t="shared" si="1"/>
        <v>15</v>
      </c>
    </row>
    <row r="16" spans="1:8" ht="19.5" customHeight="1" x14ac:dyDescent="0.45">
      <c r="A16" s="10">
        <v>13</v>
      </c>
      <c r="B16" s="10" t="s">
        <v>61</v>
      </c>
      <c r="C16" s="11">
        <v>1</v>
      </c>
      <c r="D16" s="11">
        <v>0</v>
      </c>
      <c r="E16" s="11"/>
      <c r="F16" s="11">
        <f t="shared" si="0"/>
        <v>1</v>
      </c>
      <c r="G16" s="14"/>
      <c r="H16" s="15">
        <f t="shared" si="1"/>
        <v>1</v>
      </c>
    </row>
    <row r="17" spans="1:8" ht="19.5" customHeight="1" x14ac:dyDescent="0.45">
      <c r="A17" s="10">
        <v>14</v>
      </c>
      <c r="B17" s="12" t="s">
        <v>7</v>
      </c>
      <c r="C17" s="13">
        <v>246</v>
      </c>
      <c r="D17" s="11">
        <v>20</v>
      </c>
      <c r="E17" s="11"/>
      <c r="F17" s="11">
        <f t="shared" si="0"/>
        <v>266</v>
      </c>
      <c r="G17" s="14"/>
      <c r="H17" s="15">
        <f t="shared" si="1"/>
        <v>266</v>
      </c>
    </row>
    <row r="18" spans="1:8" ht="19.5" customHeight="1" x14ac:dyDescent="0.45">
      <c r="A18" s="10">
        <v>15</v>
      </c>
      <c r="B18" s="10" t="s">
        <v>38</v>
      </c>
      <c r="C18" s="11">
        <v>1</v>
      </c>
      <c r="D18" s="11">
        <v>0</v>
      </c>
      <c r="E18" s="11"/>
      <c r="F18" s="11">
        <f t="shared" si="0"/>
        <v>1</v>
      </c>
      <c r="G18" s="14"/>
      <c r="H18" s="15">
        <f t="shared" si="1"/>
        <v>1</v>
      </c>
    </row>
    <row r="19" spans="1:8" ht="19.5" customHeight="1" x14ac:dyDescent="0.45">
      <c r="A19" s="10">
        <v>16</v>
      </c>
      <c r="B19" s="10" t="s">
        <v>51</v>
      </c>
      <c r="C19" s="11">
        <v>1</v>
      </c>
      <c r="D19" s="11">
        <v>0</v>
      </c>
      <c r="E19" s="11"/>
      <c r="F19" s="11">
        <f t="shared" si="0"/>
        <v>1</v>
      </c>
      <c r="G19" s="14"/>
      <c r="H19" s="15">
        <f t="shared" si="1"/>
        <v>1</v>
      </c>
    </row>
    <row r="20" spans="1:8" ht="19.5" customHeight="1" x14ac:dyDescent="0.45">
      <c r="A20" s="10">
        <v>17</v>
      </c>
      <c r="B20" s="10" t="s">
        <v>40</v>
      </c>
      <c r="C20" s="11">
        <v>7</v>
      </c>
      <c r="D20" s="11">
        <v>0</v>
      </c>
      <c r="E20" s="11"/>
      <c r="F20" s="11">
        <f t="shared" si="0"/>
        <v>7</v>
      </c>
      <c r="G20" s="14"/>
      <c r="H20" s="15">
        <f t="shared" si="1"/>
        <v>7</v>
      </c>
    </row>
    <row r="21" spans="1:8" ht="19.5" customHeight="1" x14ac:dyDescent="0.45">
      <c r="A21" s="10">
        <v>18</v>
      </c>
      <c r="B21" s="10" t="s">
        <v>62</v>
      </c>
      <c r="C21" s="11">
        <v>41</v>
      </c>
      <c r="D21" s="11">
        <v>0</v>
      </c>
      <c r="E21" s="11"/>
      <c r="F21" s="11">
        <f t="shared" si="0"/>
        <v>41</v>
      </c>
      <c r="G21" s="14"/>
      <c r="H21" s="15">
        <f t="shared" si="1"/>
        <v>41</v>
      </c>
    </row>
    <row r="22" spans="1:8" ht="19.5" customHeight="1" x14ac:dyDescent="0.45">
      <c r="A22" s="10">
        <v>19</v>
      </c>
      <c r="B22" s="10" t="s">
        <v>46</v>
      </c>
      <c r="C22" s="11">
        <v>36</v>
      </c>
      <c r="D22" s="11">
        <v>0</v>
      </c>
      <c r="E22" s="11"/>
      <c r="F22" s="11">
        <f t="shared" si="0"/>
        <v>36</v>
      </c>
      <c r="G22" s="14"/>
      <c r="H22" s="15">
        <f t="shared" si="1"/>
        <v>36</v>
      </c>
    </row>
    <row r="23" spans="1:8" ht="19.5" customHeight="1" x14ac:dyDescent="0.45">
      <c r="A23" s="10">
        <v>20</v>
      </c>
      <c r="B23" s="10" t="s">
        <v>15</v>
      </c>
      <c r="C23" s="11">
        <v>2</v>
      </c>
      <c r="D23" s="11">
        <v>0</v>
      </c>
      <c r="E23" s="11"/>
      <c r="F23" s="11">
        <f t="shared" si="0"/>
        <v>2</v>
      </c>
      <c r="G23" s="14"/>
      <c r="H23" s="15">
        <f t="shared" si="1"/>
        <v>2</v>
      </c>
    </row>
    <row r="24" spans="1:8" ht="19.5" customHeight="1" x14ac:dyDescent="0.45">
      <c r="A24" s="10">
        <v>21</v>
      </c>
      <c r="B24" s="10" t="s">
        <v>41</v>
      </c>
      <c r="C24" s="11">
        <v>3</v>
      </c>
      <c r="D24" s="11">
        <v>0</v>
      </c>
      <c r="E24" s="11"/>
      <c r="F24" s="11">
        <f t="shared" si="0"/>
        <v>3</v>
      </c>
      <c r="G24" s="14"/>
      <c r="H24" s="15">
        <f t="shared" si="1"/>
        <v>3</v>
      </c>
    </row>
    <row r="25" spans="1:8" ht="19.5" customHeight="1" x14ac:dyDescent="0.45">
      <c r="A25" s="10">
        <v>22</v>
      </c>
      <c r="B25" s="10" t="s">
        <v>59</v>
      </c>
      <c r="C25" s="11">
        <v>2</v>
      </c>
      <c r="D25" s="11">
        <v>0</v>
      </c>
      <c r="E25" s="11"/>
      <c r="F25" s="11">
        <f t="shared" si="0"/>
        <v>2</v>
      </c>
      <c r="G25" s="14"/>
      <c r="H25" s="15">
        <f t="shared" si="1"/>
        <v>2</v>
      </c>
    </row>
    <row r="26" spans="1:8" ht="19.5" customHeight="1" x14ac:dyDescent="0.45">
      <c r="A26" s="10">
        <v>23</v>
      </c>
      <c r="B26" s="10" t="s">
        <v>78</v>
      </c>
      <c r="C26" s="11">
        <v>70</v>
      </c>
      <c r="D26" s="11">
        <v>70</v>
      </c>
      <c r="E26" s="11"/>
      <c r="F26" s="11">
        <f t="shared" si="0"/>
        <v>140</v>
      </c>
      <c r="G26" s="14"/>
      <c r="H26" s="15">
        <f t="shared" si="1"/>
        <v>140</v>
      </c>
    </row>
    <row r="27" spans="1:8" ht="19.5" customHeight="1" x14ac:dyDescent="0.45">
      <c r="A27" s="10">
        <v>24</v>
      </c>
      <c r="B27" s="10" t="s">
        <v>12</v>
      </c>
      <c r="C27" s="11">
        <v>2</v>
      </c>
      <c r="D27" s="11">
        <v>0</v>
      </c>
      <c r="E27" s="11"/>
      <c r="F27" s="11">
        <f t="shared" si="0"/>
        <v>2</v>
      </c>
      <c r="G27" s="14"/>
      <c r="H27" s="15">
        <f t="shared" si="1"/>
        <v>2</v>
      </c>
    </row>
    <row r="28" spans="1:8" ht="19.5" customHeight="1" x14ac:dyDescent="0.45">
      <c r="A28" s="10">
        <v>25</v>
      </c>
      <c r="B28" s="10" t="s">
        <v>43</v>
      </c>
      <c r="C28" s="11">
        <v>6</v>
      </c>
      <c r="D28" s="11">
        <v>0</v>
      </c>
      <c r="E28" s="11"/>
      <c r="F28" s="11">
        <f t="shared" si="0"/>
        <v>6</v>
      </c>
      <c r="G28" s="14"/>
      <c r="H28" s="15">
        <f t="shared" si="1"/>
        <v>6</v>
      </c>
    </row>
    <row r="29" spans="1:8" ht="19.5" customHeight="1" x14ac:dyDescent="0.45">
      <c r="A29" s="10">
        <v>26</v>
      </c>
      <c r="B29" s="10" t="s">
        <v>25</v>
      </c>
      <c r="C29" s="11">
        <v>1</v>
      </c>
      <c r="D29" s="11">
        <v>0</v>
      </c>
      <c r="E29" s="11"/>
      <c r="F29" s="11">
        <f t="shared" si="0"/>
        <v>1</v>
      </c>
      <c r="G29" s="14"/>
      <c r="H29" s="15">
        <f t="shared" si="1"/>
        <v>1</v>
      </c>
    </row>
    <row r="30" spans="1:8" ht="19.5" customHeight="1" x14ac:dyDescent="0.45">
      <c r="A30" s="10">
        <v>27</v>
      </c>
      <c r="B30" s="10" t="s">
        <v>52</v>
      </c>
      <c r="C30" s="11">
        <v>1</v>
      </c>
      <c r="D30" s="11">
        <v>0</v>
      </c>
      <c r="E30" s="11"/>
      <c r="F30" s="11">
        <f t="shared" si="0"/>
        <v>1</v>
      </c>
      <c r="G30" s="14"/>
      <c r="H30" s="15">
        <f t="shared" si="1"/>
        <v>1</v>
      </c>
    </row>
    <row r="31" spans="1:8" ht="19.5" customHeight="1" x14ac:dyDescent="0.45">
      <c r="A31" s="10">
        <v>28</v>
      </c>
      <c r="B31" s="10" t="s">
        <v>44</v>
      </c>
      <c r="C31" s="11">
        <v>2</v>
      </c>
      <c r="D31" s="11">
        <v>0</v>
      </c>
      <c r="E31" s="11"/>
      <c r="F31" s="11">
        <f t="shared" si="0"/>
        <v>2</v>
      </c>
      <c r="G31" s="14"/>
      <c r="H31" s="15">
        <f t="shared" si="1"/>
        <v>2</v>
      </c>
    </row>
    <row r="32" spans="1:8" ht="19.5" customHeight="1" x14ac:dyDescent="0.45">
      <c r="A32" s="10">
        <v>29</v>
      </c>
      <c r="B32" s="10" t="s">
        <v>53</v>
      </c>
      <c r="C32" s="11">
        <v>1</v>
      </c>
      <c r="D32" s="11">
        <v>0</v>
      </c>
      <c r="E32" s="11"/>
      <c r="F32" s="11">
        <f t="shared" si="0"/>
        <v>1</v>
      </c>
      <c r="G32" s="14"/>
      <c r="H32" s="15">
        <f t="shared" si="1"/>
        <v>1</v>
      </c>
    </row>
    <row r="33" spans="1:8" ht="19.5" customHeight="1" x14ac:dyDescent="0.45">
      <c r="A33" s="10">
        <v>30</v>
      </c>
      <c r="B33" s="10" t="s">
        <v>58</v>
      </c>
      <c r="C33" s="11">
        <v>8</v>
      </c>
      <c r="D33" s="11">
        <v>0</v>
      </c>
      <c r="E33" s="11"/>
      <c r="F33" s="11">
        <f t="shared" si="0"/>
        <v>8</v>
      </c>
      <c r="G33" s="14"/>
      <c r="H33" s="15">
        <f t="shared" si="1"/>
        <v>8</v>
      </c>
    </row>
    <row r="34" spans="1:8" ht="19.5" customHeight="1" x14ac:dyDescent="0.45">
      <c r="A34" s="10">
        <v>31</v>
      </c>
      <c r="B34" s="10" t="s">
        <v>20</v>
      </c>
      <c r="C34" s="11">
        <v>2</v>
      </c>
      <c r="D34" s="11">
        <v>0</v>
      </c>
      <c r="E34" s="11"/>
      <c r="F34" s="11">
        <f t="shared" si="0"/>
        <v>2</v>
      </c>
      <c r="G34" s="14"/>
      <c r="H34" s="15">
        <f t="shared" si="1"/>
        <v>2</v>
      </c>
    </row>
    <row r="35" spans="1:8" x14ac:dyDescent="0.45">
      <c r="A35" s="10">
        <v>32</v>
      </c>
      <c r="B35" s="10" t="s">
        <v>48</v>
      </c>
      <c r="C35" s="11">
        <v>1</v>
      </c>
      <c r="D35" s="11">
        <v>0</v>
      </c>
      <c r="E35" s="11"/>
      <c r="F35" s="11">
        <f t="shared" si="0"/>
        <v>1</v>
      </c>
      <c r="G35" s="14"/>
      <c r="H35" s="15">
        <f t="shared" si="1"/>
        <v>1</v>
      </c>
    </row>
    <row r="36" spans="1:8" x14ac:dyDescent="0.45">
      <c r="A36" s="10">
        <v>33</v>
      </c>
      <c r="B36" s="10" t="s">
        <v>8</v>
      </c>
      <c r="C36" s="11">
        <v>13</v>
      </c>
      <c r="D36" s="11">
        <v>0</v>
      </c>
      <c r="E36" s="11"/>
      <c r="F36" s="11">
        <f t="shared" si="0"/>
        <v>13</v>
      </c>
      <c r="G36" s="14"/>
      <c r="H36" s="15">
        <f t="shared" si="1"/>
        <v>13</v>
      </c>
    </row>
    <row r="37" spans="1:8" x14ac:dyDescent="0.45">
      <c r="A37" s="10">
        <v>34</v>
      </c>
      <c r="B37" s="10" t="s">
        <v>16</v>
      </c>
      <c r="C37" s="11">
        <v>1</v>
      </c>
      <c r="D37" s="11">
        <v>1</v>
      </c>
      <c r="E37" s="11"/>
      <c r="F37" s="11">
        <f t="shared" si="0"/>
        <v>2</v>
      </c>
      <c r="G37" s="14"/>
      <c r="H37" s="15">
        <f t="shared" si="1"/>
        <v>2</v>
      </c>
    </row>
    <row r="38" spans="1:8" x14ac:dyDescent="0.45">
      <c r="A38" s="10">
        <v>35</v>
      </c>
      <c r="B38" s="10" t="s">
        <v>68</v>
      </c>
      <c r="C38" s="11">
        <v>1</v>
      </c>
      <c r="D38" s="11">
        <v>4</v>
      </c>
      <c r="E38" s="11"/>
      <c r="F38" s="11">
        <f t="shared" si="0"/>
        <v>5</v>
      </c>
      <c r="G38" s="14"/>
      <c r="H38" s="15">
        <f t="shared" si="1"/>
        <v>5</v>
      </c>
    </row>
    <row r="39" spans="1:8" x14ac:dyDescent="0.45">
      <c r="A39" s="10">
        <v>36</v>
      </c>
      <c r="B39" s="10" t="s">
        <v>56</v>
      </c>
      <c r="C39" s="11">
        <v>1</v>
      </c>
      <c r="D39" s="11">
        <v>0</v>
      </c>
      <c r="E39" s="11"/>
      <c r="F39" s="11">
        <f t="shared" si="0"/>
        <v>1</v>
      </c>
      <c r="G39" s="14"/>
      <c r="H39" s="15">
        <f t="shared" si="1"/>
        <v>1</v>
      </c>
    </row>
    <row r="40" spans="1:8" x14ac:dyDescent="0.45">
      <c r="A40" s="10">
        <v>37</v>
      </c>
      <c r="B40" s="10" t="s">
        <v>6</v>
      </c>
      <c r="C40" s="11">
        <v>8</v>
      </c>
      <c r="D40" s="11">
        <v>0</v>
      </c>
      <c r="E40" s="11"/>
      <c r="F40" s="11">
        <f t="shared" si="0"/>
        <v>8</v>
      </c>
      <c r="G40" s="14"/>
      <c r="H40" s="15">
        <f t="shared" si="1"/>
        <v>8</v>
      </c>
    </row>
    <row r="41" spans="1:8" x14ac:dyDescent="0.45">
      <c r="A41" s="10">
        <v>38</v>
      </c>
      <c r="B41" s="10" t="s">
        <v>45</v>
      </c>
      <c r="C41" s="11">
        <v>116</v>
      </c>
      <c r="D41" s="11">
        <v>0</v>
      </c>
      <c r="E41" s="11"/>
      <c r="F41" s="11">
        <f t="shared" si="0"/>
        <v>116</v>
      </c>
      <c r="G41" s="14"/>
      <c r="H41" s="15">
        <f t="shared" si="1"/>
        <v>116</v>
      </c>
    </row>
    <row r="42" spans="1:8" x14ac:dyDescent="0.45">
      <c r="A42" s="10">
        <v>39</v>
      </c>
      <c r="B42" s="10" t="s">
        <v>19</v>
      </c>
      <c r="C42" s="11">
        <v>18</v>
      </c>
      <c r="D42" s="11">
        <v>0</v>
      </c>
      <c r="E42" s="11"/>
      <c r="F42" s="11">
        <f t="shared" si="0"/>
        <v>18</v>
      </c>
      <c r="G42" s="14"/>
      <c r="H42" s="15">
        <f t="shared" si="1"/>
        <v>18</v>
      </c>
    </row>
    <row r="43" spans="1:8" x14ac:dyDescent="0.45">
      <c r="A43" s="10">
        <v>40</v>
      </c>
      <c r="B43" s="10" t="s">
        <v>47</v>
      </c>
      <c r="C43" s="11">
        <v>1</v>
      </c>
      <c r="D43" s="11">
        <v>4</v>
      </c>
      <c r="E43" s="11"/>
      <c r="F43" s="11">
        <f t="shared" si="0"/>
        <v>5</v>
      </c>
      <c r="G43" s="14"/>
      <c r="H43" s="15">
        <f t="shared" si="1"/>
        <v>5</v>
      </c>
    </row>
    <row r="44" spans="1:8" x14ac:dyDescent="0.45">
      <c r="A44" s="10">
        <v>41</v>
      </c>
      <c r="B44" s="10" t="s">
        <v>50</v>
      </c>
      <c r="C44" s="11">
        <v>7</v>
      </c>
      <c r="D44" s="11">
        <v>5</v>
      </c>
      <c r="E44" s="11"/>
      <c r="F44" s="11">
        <f t="shared" si="0"/>
        <v>12</v>
      </c>
      <c r="G44" s="14"/>
      <c r="H44" s="15">
        <f t="shared" si="1"/>
        <v>12</v>
      </c>
    </row>
    <row r="45" spans="1:8" x14ac:dyDescent="0.45">
      <c r="A45" s="10">
        <v>42</v>
      </c>
      <c r="B45" s="10" t="s">
        <v>36</v>
      </c>
      <c r="C45" s="11">
        <v>62</v>
      </c>
      <c r="D45" s="11">
        <v>9</v>
      </c>
      <c r="E45" s="11"/>
      <c r="F45" s="11">
        <f t="shared" si="0"/>
        <v>71</v>
      </c>
      <c r="G45" s="14"/>
      <c r="H45" s="15">
        <f t="shared" si="1"/>
        <v>71</v>
      </c>
    </row>
    <row r="46" spans="1:8" x14ac:dyDescent="0.45">
      <c r="A46" s="10">
        <v>43</v>
      </c>
      <c r="B46" s="10" t="s">
        <v>31</v>
      </c>
      <c r="C46" s="11">
        <v>48</v>
      </c>
      <c r="D46" s="11">
        <v>0</v>
      </c>
      <c r="E46" s="11"/>
      <c r="F46" s="11">
        <f t="shared" si="0"/>
        <v>48</v>
      </c>
      <c r="G46" s="14"/>
      <c r="H46" s="15">
        <f t="shared" si="1"/>
        <v>48</v>
      </c>
    </row>
    <row r="47" spans="1:8" x14ac:dyDescent="0.45">
      <c r="A47" s="10">
        <v>44</v>
      </c>
      <c r="B47" s="10" t="s">
        <v>14</v>
      </c>
      <c r="C47" s="11">
        <v>10</v>
      </c>
      <c r="D47" s="11">
        <v>0</v>
      </c>
      <c r="E47" s="11"/>
      <c r="F47" s="11">
        <f t="shared" si="0"/>
        <v>10</v>
      </c>
      <c r="G47" s="14"/>
      <c r="H47" s="15">
        <f t="shared" si="1"/>
        <v>10</v>
      </c>
    </row>
    <row r="48" spans="1:8" x14ac:dyDescent="0.45">
      <c r="A48" s="10">
        <v>45</v>
      </c>
      <c r="B48" s="10" t="s">
        <v>69</v>
      </c>
      <c r="C48" s="11">
        <v>300</v>
      </c>
      <c r="D48" s="11">
        <v>265</v>
      </c>
      <c r="E48" s="11"/>
      <c r="F48" s="11">
        <f t="shared" si="0"/>
        <v>565</v>
      </c>
      <c r="G48" s="14"/>
      <c r="H48" s="15">
        <f t="shared" si="1"/>
        <v>565</v>
      </c>
    </row>
    <row r="49" spans="1:8" x14ac:dyDescent="0.45">
      <c r="A49" s="10">
        <v>46</v>
      </c>
      <c r="B49" s="10" t="s">
        <v>24</v>
      </c>
      <c r="C49" s="11">
        <v>50</v>
      </c>
      <c r="D49" s="11">
        <v>0</v>
      </c>
      <c r="E49" s="11"/>
      <c r="F49" s="11">
        <f t="shared" si="0"/>
        <v>50</v>
      </c>
      <c r="G49" s="14"/>
      <c r="H49" s="15">
        <f t="shared" si="1"/>
        <v>50</v>
      </c>
    </row>
    <row r="50" spans="1:8" x14ac:dyDescent="0.45">
      <c r="A50" s="10">
        <v>47</v>
      </c>
      <c r="B50" s="10" t="s">
        <v>2</v>
      </c>
      <c r="C50" s="11">
        <v>143</v>
      </c>
      <c r="D50" s="11">
        <v>465</v>
      </c>
      <c r="E50" s="11"/>
      <c r="F50" s="11">
        <f t="shared" si="0"/>
        <v>608</v>
      </c>
      <c r="G50" s="11"/>
      <c r="H50" s="15">
        <f>F50-G50</f>
        <v>608</v>
      </c>
    </row>
    <row r="51" spans="1:8" x14ac:dyDescent="0.45">
      <c r="A51" s="10">
        <v>48</v>
      </c>
      <c r="B51" s="12" t="s">
        <v>3</v>
      </c>
      <c r="C51" s="13">
        <v>132</v>
      </c>
      <c r="D51" s="11">
        <v>0</v>
      </c>
      <c r="E51" s="11"/>
      <c r="F51" s="11">
        <f t="shared" si="0"/>
        <v>132</v>
      </c>
      <c r="G51" s="14"/>
      <c r="H51" s="15">
        <f t="shared" si="1"/>
        <v>132</v>
      </c>
    </row>
    <row r="52" spans="1:8" x14ac:dyDescent="0.45">
      <c r="A52" s="10">
        <v>49</v>
      </c>
      <c r="B52" s="10" t="s">
        <v>32</v>
      </c>
      <c r="C52" s="11">
        <v>1</v>
      </c>
      <c r="D52" s="11">
        <v>0</v>
      </c>
      <c r="E52" s="11"/>
      <c r="F52" s="11">
        <f t="shared" si="0"/>
        <v>1</v>
      </c>
      <c r="G52" s="14"/>
      <c r="H52" s="15">
        <f t="shared" si="1"/>
        <v>1</v>
      </c>
    </row>
    <row r="53" spans="1:8" x14ac:dyDescent="0.45">
      <c r="A53" s="10">
        <v>50</v>
      </c>
      <c r="B53" s="10" t="s">
        <v>17</v>
      </c>
      <c r="C53" s="11">
        <v>1</v>
      </c>
      <c r="D53" s="11">
        <v>0</v>
      </c>
      <c r="E53" s="11"/>
      <c r="F53" s="11">
        <f t="shared" si="0"/>
        <v>1</v>
      </c>
      <c r="G53" s="14"/>
      <c r="H53" s="15">
        <f t="shared" si="1"/>
        <v>1</v>
      </c>
    </row>
    <row r="54" spans="1:8" x14ac:dyDescent="0.45">
      <c r="A54" s="10">
        <v>51</v>
      </c>
      <c r="B54" s="10" t="s">
        <v>4</v>
      </c>
      <c r="C54" s="11">
        <v>101</v>
      </c>
      <c r="D54" s="11">
        <v>0</v>
      </c>
      <c r="E54" s="11"/>
      <c r="F54" s="11">
        <f t="shared" si="0"/>
        <v>101</v>
      </c>
      <c r="G54" s="14"/>
      <c r="H54" s="15">
        <f t="shared" si="1"/>
        <v>101</v>
      </c>
    </row>
    <row r="55" spans="1:8" x14ac:dyDescent="0.45">
      <c r="A55" s="10">
        <v>52</v>
      </c>
      <c r="B55" s="10" t="s">
        <v>5</v>
      </c>
      <c r="C55" s="11">
        <v>55</v>
      </c>
      <c r="D55" s="11">
        <v>0</v>
      </c>
      <c r="E55" s="11"/>
      <c r="F55" s="11">
        <f t="shared" si="0"/>
        <v>55</v>
      </c>
      <c r="G55" s="14"/>
      <c r="H55" s="15">
        <f t="shared" si="1"/>
        <v>55</v>
      </c>
    </row>
    <row r="56" spans="1:8" x14ac:dyDescent="0.45">
      <c r="A56" s="10">
        <v>53</v>
      </c>
      <c r="B56" s="10" t="s">
        <v>33</v>
      </c>
      <c r="C56" s="11">
        <v>1</v>
      </c>
      <c r="D56" s="11">
        <v>0</v>
      </c>
      <c r="E56" s="11"/>
      <c r="F56" s="11">
        <f t="shared" si="0"/>
        <v>1</v>
      </c>
      <c r="G56" s="14"/>
      <c r="H56" s="15">
        <f t="shared" si="1"/>
        <v>1</v>
      </c>
    </row>
    <row r="57" spans="1:8" x14ac:dyDescent="0.45">
      <c r="A57" s="10">
        <v>54</v>
      </c>
      <c r="B57" s="10" t="s">
        <v>26</v>
      </c>
      <c r="C57" s="11">
        <v>6</v>
      </c>
      <c r="D57" s="11">
        <v>0</v>
      </c>
      <c r="E57" s="11"/>
      <c r="F57" s="11">
        <f t="shared" si="0"/>
        <v>6</v>
      </c>
      <c r="G57" s="14"/>
      <c r="H57" s="15">
        <f t="shared" si="1"/>
        <v>6</v>
      </c>
    </row>
    <row r="58" spans="1:8" x14ac:dyDescent="0.45">
      <c r="A58" s="10">
        <v>55</v>
      </c>
      <c r="B58" s="10" t="s">
        <v>27</v>
      </c>
      <c r="C58" s="11">
        <v>26</v>
      </c>
      <c r="D58" s="11">
        <v>0</v>
      </c>
      <c r="E58" s="11"/>
      <c r="F58" s="11">
        <f t="shared" si="0"/>
        <v>26</v>
      </c>
      <c r="G58" s="14"/>
      <c r="H58" s="15">
        <f t="shared" si="1"/>
        <v>26</v>
      </c>
    </row>
    <row r="59" spans="1:8" x14ac:dyDescent="0.45">
      <c r="A59" s="10">
        <v>56</v>
      </c>
      <c r="B59" s="10" t="s">
        <v>39</v>
      </c>
      <c r="C59" s="11">
        <v>4</v>
      </c>
      <c r="D59" s="11">
        <v>0</v>
      </c>
      <c r="E59" s="11"/>
      <c r="F59" s="11">
        <f t="shared" si="0"/>
        <v>4</v>
      </c>
      <c r="G59" s="14"/>
      <c r="H59" s="15">
        <f t="shared" si="1"/>
        <v>4</v>
      </c>
    </row>
    <row r="60" spans="1:8" x14ac:dyDescent="0.45">
      <c r="A60" s="10">
        <v>57</v>
      </c>
      <c r="B60" s="10" t="s">
        <v>67</v>
      </c>
      <c r="C60" s="11">
        <v>0</v>
      </c>
      <c r="D60" s="11">
        <v>30</v>
      </c>
      <c r="E60" s="11"/>
      <c r="F60" s="11">
        <f t="shared" si="0"/>
        <v>30</v>
      </c>
      <c r="G60" s="14"/>
      <c r="H60" s="15">
        <f t="shared" si="1"/>
        <v>30</v>
      </c>
    </row>
    <row r="61" spans="1:8" x14ac:dyDescent="0.45">
      <c r="A61" s="10">
        <v>58</v>
      </c>
      <c r="B61" s="10" t="s">
        <v>70</v>
      </c>
      <c r="C61" s="11">
        <v>0</v>
      </c>
      <c r="D61" s="11">
        <v>30</v>
      </c>
      <c r="E61" s="11"/>
      <c r="F61" s="11">
        <f t="shared" ref="F61:F67" si="2">C61+D61+E61</f>
        <v>30</v>
      </c>
      <c r="G61" s="14"/>
      <c r="H61" s="15">
        <f t="shared" ref="H61:H67" si="3">F61-G61</f>
        <v>30</v>
      </c>
    </row>
    <row r="62" spans="1:8" x14ac:dyDescent="0.45">
      <c r="A62" s="10">
        <v>59</v>
      </c>
      <c r="B62" s="10" t="s">
        <v>71</v>
      </c>
      <c r="C62" s="11">
        <v>0</v>
      </c>
      <c r="D62" s="11">
        <v>105</v>
      </c>
      <c r="E62" s="11"/>
      <c r="F62" s="11">
        <f t="shared" si="2"/>
        <v>105</v>
      </c>
      <c r="G62" s="14"/>
      <c r="H62" s="15">
        <f t="shared" si="3"/>
        <v>105</v>
      </c>
    </row>
    <row r="63" spans="1:8" x14ac:dyDescent="0.45">
      <c r="A63" s="10">
        <v>60</v>
      </c>
      <c r="B63" s="10" t="s">
        <v>72</v>
      </c>
      <c r="C63" s="11">
        <v>0</v>
      </c>
      <c r="D63" s="11">
        <v>2</v>
      </c>
      <c r="E63" s="11"/>
      <c r="F63" s="11">
        <f t="shared" si="2"/>
        <v>2</v>
      </c>
      <c r="G63" s="14"/>
      <c r="H63" s="15">
        <f t="shared" si="3"/>
        <v>2</v>
      </c>
    </row>
    <row r="64" spans="1:8" x14ac:dyDescent="0.45">
      <c r="A64" s="10">
        <v>61</v>
      </c>
      <c r="B64" s="10" t="s">
        <v>73</v>
      </c>
      <c r="C64" s="11">
        <v>0</v>
      </c>
      <c r="D64" s="11">
        <v>3</v>
      </c>
      <c r="E64" s="11"/>
      <c r="F64" s="11">
        <f t="shared" si="2"/>
        <v>3</v>
      </c>
      <c r="G64" s="14"/>
      <c r="H64" s="15">
        <f t="shared" si="3"/>
        <v>3</v>
      </c>
    </row>
    <row r="65" spans="1:8" x14ac:dyDescent="0.45">
      <c r="A65" s="10">
        <v>62</v>
      </c>
      <c r="B65" s="10" t="s">
        <v>74</v>
      </c>
      <c r="C65" s="11">
        <v>0</v>
      </c>
      <c r="D65" s="11">
        <v>100</v>
      </c>
      <c r="E65" s="11"/>
      <c r="F65" s="11">
        <f t="shared" si="2"/>
        <v>100</v>
      </c>
      <c r="G65" s="14"/>
      <c r="H65" s="15">
        <f t="shared" si="3"/>
        <v>100</v>
      </c>
    </row>
    <row r="66" spans="1:8" x14ac:dyDescent="0.45">
      <c r="A66" s="10">
        <v>63</v>
      </c>
      <c r="B66" s="10" t="s">
        <v>75</v>
      </c>
      <c r="C66" s="11">
        <v>0</v>
      </c>
      <c r="D66" s="11">
        <v>1</v>
      </c>
      <c r="E66" s="11"/>
      <c r="F66" s="11">
        <f t="shared" si="2"/>
        <v>1</v>
      </c>
      <c r="G66" s="14"/>
      <c r="H66" s="15">
        <f t="shared" si="3"/>
        <v>1</v>
      </c>
    </row>
    <row r="67" spans="1:8" x14ac:dyDescent="0.45">
      <c r="A67" s="10">
        <v>64</v>
      </c>
      <c r="B67" s="10" t="s">
        <v>76</v>
      </c>
      <c r="C67" s="11">
        <v>0</v>
      </c>
      <c r="D67" s="11">
        <v>30</v>
      </c>
      <c r="E67" s="11"/>
      <c r="F67" s="11">
        <f t="shared" si="2"/>
        <v>30</v>
      </c>
      <c r="G67" s="14"/>
      <c r="H67" s="15">
        <f t="shared" si="3"/>
        <v>30</v>
      </c>
    </row>
    <row r="68" spans="1:8" x14ac:dyDescent="0.45">
      <c r="A68" s="10">
        <v>65</v>
      </c>
      <c r="B68" s="10" t="s">
        <v>77</v>
      </c>
      <c r="C68" s="11">
        <v>0</v>
      </c>
      <c r="D68" s="11">
        <v>30</v>
      </c>
      <c r="E68" s="11"/>
      <c r="F68" s="11">
        <f t="shared" ref="F68:F73" si="4">C68+D68+E68</f>
        <v>30</v>
      </c>
      <c r="G68" s="14"/>
      <c r="H68" s="15">
        <f t="shared" ref="H68:H73" si="5">F68-G68</f>
        <v>30</v>
      </c>
    </row>
    <row r="69" spans="1:8" x14ac:dyDescent="0.45">
      <c r="A69" s="10">
        <v>66</v>
      </c>
      <c r="B69" s="10" t="s">
        <v>79</v>
      </c>
      <c r="C69" s="11">
        <v>0</v>
      </c>
      <c r="D69" s="11">
        <v>10</v>
      </c>
      <c r="E69" s="11"/>
      <c r="F69" s="11">
        <f t="shared" si="4"/>
        <v>10</v>
      </c>
      <c r="G69" s="14"/>
      <c r="H69" s="15">
        <f t="shared" si="5"/>
        <v>10</v>
      </c>
    </row>
    <row r="70" spans="1:8" x14ac:dyDescent="0.45">
      <c r="A70" s="10">
        <v>67</v>
      </c>
      <c r="B70" s="10" t="s">
        <v>80</v>
      </c>
      <c r="C70" s="11">
        <v>0</v>
      </c>
      <c r="D70" s="11">
        <v>40</v>
      </c>
      <c r="E70" s="11"/>
      <c r="F70" s="11">
        <f t="shared" si="4"/>
        <v>40</v>
      </c>
      <c r="G70" s="14"/>
      <c r="H70" s="15">
        <f t="shared" si="5"/>
        <v>40</v>
      </c>
    </row>
    <row r="71" spans="1:8" x14ac:dyDescent="0.45">
      <c r="A71" s="10">
        <v>68</v>
      </c>
      <c r="B71" s="10" t="s">
        <v>81</v>
      </c>
      <c r="C71" s="11">
        <v>0</v>
      </c>
      <c r="D71" s="11">
        <v>18</v>
      </c>
      <c r="E71" s="11"/>
      <c r="F71" s="11">
        <f t="shared" si="4"/>
        <v>18</v>
      </c>
      <c r="G71" s="14"/>
      <c r="H71" s="15">
        <f t="shared" si="5"/>
        <v>18</v>
      </c>
    </row>
    <row r="72" spans="1:8" x14ac:dyDescent="0.45">
      <c r="A72" s="10">
        <v>69</v>
      </c>
      <c r="B72" s="10" t="s">
        <v>82</v>
      </c>
      <c r="C72" s="11">
        <v>0</v>
      </c>
      <c r="D72" s="11">
        <v>6</v>
      </c>
      <c r="E72" s="11"/>
      <c r="F72" s="11">
        <f t="shared" si="4"/>
        <v>6</v>
      </c>
      <c r="G72" s="14"/>
      <c r="H72" s="15">
        <f t="shared" si="5"/>
        <v>6</v>
      </c>
    </row>
    <row r="73" spans="1:8" x14ac:dyDescent="0.45">
      <c r="A73" s="10">
        <v>70</v>
      </c>
      <c r="B73" s="10" t="s">
        <v>83</v>
      </c>
      <c r="C73" s="11">
        <v>0</v>
      </c>
      <c r="D73" s="11">
        <v>16</v>
      </c>
      <c r="E73" s="11"/>
      <c r="F73" s="11">
        <f t="shared" si="4"/>
        <v>16</v>
      </c>
      <c r="G73" s="14"/>
      <c r="H73" s="15">
        <f t="shared" si="5"/>
        <v>16</v>
      </c>
    </row>
  </sheetData>
  <sortState xmlns:xlrd2="http://schemas.microsoft.com/office/spreadsheetml/2017/richdata2" ref="A5:G60">
    <sortCondition ref="B4:B60"/>
  </sortState>
  <mergeCells count="6">
    <mergeCell ref="G2:G3"/>
    <mergeCell ref="H2:H3"/>
    <mergeCell ref="B2:B3"/>
    <mergeCell ref="A2:A3"/>
    <mergeCell ref="A1:H1"/>
    <mergeCell ref="F2:F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"/>
  <sheetViews>
    <sheetView workbookViewId="0">
      <selection activeCell="E48" sqref="E48"/>
    </sheetView>
  </sheetViews>
  <sheetFormatPr defaultRowHeight="18" x14ac:dyDescent="0.4"/>
  <cols>
    <col min="1" max="1" width="5.54296875" style="3" bestFit="1" customWidth="1"/>
    <col min="2" max="2" width="64.26953125" style="3" customWidth="1"/>
    <col min="3" max="3" width="35.7265625" style="4" bestFit="1" customWidth="1"/>
    <col min="4" max="4" width="35.54296875" style="4" bestFit="1" customWidth="1"/>
    <col min="5" max="5" width="35.7265625" style="4" bestFit="1" customWidth="1"/>
    <col min="6" max="6" width="35.54296875" bestFit="1" customWidth="1"/>
  </cols>
  <sheetData>
    <row r="1" spans="1:7" ht="25" x14ac:dyDescent="0.5">
      <c r="B1" s="8"/>
      <c r="C1" s="8"/>
      <c r="D1" s="8"/>
      <c r="E1" s="8"/>
    </row>
    <row r="2" spans="1:7" ht="25" x14ac:dyDescent="0.5">
      <c r="A2" s="7"/>
      <c r="B2" s="7"/>
      <c r="C2" s="1" t="s">
        <v>35</v>
      </c>
      <c r="D2" s="1" t="s">
        <v>35</v>
      </c>
      <c r="E2" s="1" t="s">
        <v>35</v>
      </c>
    </row>
    <row r="3" spans="1:7" ht="25.5" customHeight="1" x14ac:dyDescent="0.35">
      <c r="A3" s="1" t="s">
        <v>0</v>
      </c>
      <c r="B3" s="1" t="s">
        <v>1</v>
      </c>
      <c r="C3" s="2" t="s">
        <v>9</v>
      </c>
      <c r="D3" s="2" t="s">
        <v>9</v>
      </c>
      <c r="E3" s="2" t="s">
        <v>9</v>
      </c>
      <c r="F3" s="2" t="s">
        <v>10</v>
      </c>
      <c r="G3" s="2" t="s">
        <v>11</v>
      </c>
    </row>
    <row r="4" spans="1:7" ht="19.5" customHeight="1" x14ac:dyDescent="0.4">
      <c r="A4" s="3">
        <v>1</v>
      </c>
      <c r="B4" s="3" t="s">
        <v>2</v>
      </c>
      <c r="C4" s="4">
        <v>143</v>
      </c>
      <c r="D4" s="4">
        <v>465</v>
      </c>
      <c r="F4" s="4"/>
      <c r="G4" s="4">
        <f>C4-F4</f>
        <v>143</v>
      </c>
    </row>
    <row r="5" spans="1:7" ht="19.5" customHeight="1" x14ac:dyDescent="0.4">
      <c r="A5" s="3">
        <v>2</v>
      </c>
      <c r="B5" s="5" t="s">
        <v>3</v>
      </c>
      <c r="C5" s="6">
        <v>132</v>
      </c>
    </row>
    <row r="6" spans="1:7" ht="19.5" customHeight="1" x14ac:dyDescent="0.4">
      <c r="A6" s="3">
        <v>3</v>
      </c>
      <c r="B6" s="3" t="s">
        <v>4</v>
      </c>
      <c r="C6" s="4">
        <v>101</v>
      </c>
    </row>
    <row r="7" spans="1:7" ht="19.5" customHeight="1" x14ac:dyDescent="0.4">
      <c r="A7" s="3">
        <v>4</v>
      </c>
      <c r="B7" s="3" t="s">
        <v>5</v>
      </c>
      <c r="C7" s="4">
        <v>55</v>
      </c>
    </row>
    <row r="8" spans="1:7" ht="19.5" customHeight="1" x14ac:dyDescent="0.4">
      <c r="A8" s="3">
        <v>5</v>
      </c>
      <c r="B8" s="3" t="s">
        <v>6</v>
      </c>
      <c r="C8" s="4">
        <v>8</v>
      </c>
    </row>
    <row r="9" spans="1:7" ht="19.5" customHeight="1" x14ac:dyDescent="0.4">
      <c r="A9" s="3">
        <v>6</v>
      </c>
      <c r="B9" s="3" t="s">
        <v>8</v>
      </c>
      <c r="C9" s="4">
        <v>13</v>
      </c>
    </row>
    <row r="10" spans="1:7" ht="19.5" customHeight="1" x14ac:dyDescent="0.4">
      <c r="A10" s="3">
        <v>7</v>
      </c>
      <c r="B10" s="3" t="s">
        <v>12</v>
      </c>
      <c r="C10" s="4">
        <v>2</v>
      </c>
    </row>
    <row r="11" spans="1:7" ht="19.5" customHeight="1" x14ac:dyDescent="0.4">
      <c r="A11" s="3">
        <v>8</v>
      </c>
      <c r="B11" s="3" t="s">
        <v>13</v>
      </c>
      <c r="C11" s="4">
        <v>3</v>
      </c>
    </row>
    <row r="12" spans="1:7" ht="19.5" customHeight="1" x14ac:dyDescent="0.4">
      <c r="A12" s="3">
        <v>9</v>
      </c>
      <c r="B12" s="3" t="s">
        <v>14</v>
      </c>
      <c r="C12" s="4">
        <v>10</v>
      </c>
    </row>
    <row r="13" spans="1:7" ht="19.5" customHeight="1" x14ac:dyDescent="0.4">
      <c r="A13" s="3">
        <v>10</v>
      </c>
      <c r="B13" s="3" t="s">
        <v>15</v>
      </c>
      <c r="C13" s="4">
        <v>2</v>
      </c>
    </row>
    <row r="14" spans="1:7" ht="19.5" customHeight="1" x14ac:dyDescent="0.4">
      <c r="A14" s="3">
        <v>11</v>
      </c>
      <c r="B14" s="3" t="s">
        <v>16</v>
      </c>
      <c r="C14" s="4">
        <v>1</v>
      </c>
    </row>
    <row r="15" spans="1:7" ht="19.5" customHeight="1" x14ac:dyDescent="0.4">
      <c r="A15" s="3">
        <v>12</v>
      </c>
      <c r="B15" s="3" t="s">
        <v>17</v>
      </c>
      <c r="C15" s="4">
        <v>1</v>
      </c>
    </row>
    <row r="16" spans="1:7" ht="19.5" customHeight="1" x14ac:dyDescent="0.4">
      <c r="A16" s="3">
        <v>13</v>
      </c>
      <c r="B16" s="3" t="s">
        <v>18</v>
      </c>
      <c r="C16" s="4">
        <v>1</v>
      </c>
    </row>
    <row r="17" spans="1:3" ht="19.5" customHeight="1" x14ac:dyDescent="0.4">
      <c r="A17" s="3">
        <v>14</v>
      </c>
      <c r="B17" s="3" t="s">
        <v>19</v>
      </c>
      <c r="C17" s="4">
        <v>18</v>
      </c>
    </row>
    <row r="18" spans="1:3" ht="19.5" customHeight="1" x14ac:dyDescent="0.4">
      <c r="A18" s="3">
        <v>15</v>
      </c>
      <c r="B18" s="3" t="s">
        <v>20</v>
      </c>
      <c r="C18" s="4">
        <v>2</v>
      </c>
    </row>
    <row r="19" spans="1:3" ht="19.5" customHeight="1" x14ac:dyDescent="0.4">
      <c r="A19" s="3">
        <v>16</v>
      </c>
      <c r="B19" s="3" t="s">
        <v>21</v>
      </c>
      <c r="C19" s="4">
        <v>1</v>
      </c>
    </row>
    <row r="20" spans="1:3" ht="19.5" customHeight="1" x14ac:dyDescent="0.4">
      <c r="A20" s="3">
        <v>17</v>
      </c>
      <c r="B20" s="5" t="s">
        <v>7</v>
      </c>
      <c r="C20" s="6">
        <v>246</v>
      </c>
    </row>
    <row r="21" spans="1:3" ht="19.5" customHeight="1" x14ac:dyDescent="0.4">
      <c r="A21" s="3">
        <v>18</v>
      </c>
      <c r="B21" s="3" t="s">
        <v>22</v>
      </c>
      <c r="C21" s="4">
        <v>6</v>
      </c>
    </row>
    <row r="22" spans="1:3" ht="19.5" customHeight="1" x14ac:dyDescent="0.4">
      <c r="A22" s="3">
        <v>19</v>
      </c>
      <c r="B22" s="3" t="s">
        <v>24</v>
      </c>
      <c r="C22" s="4">
        <v>50</v>
      </c>
    </row>
    <row r="23" spans="1:3" ht="19.5" customHeight="1" x14ac:dyDescent="0.4">
      <c r="A23" s="3">
        <v>20</v>
      </c>
      <c r="B23" s="3" t="s">
        <v>23</v>
      </c>
      <c r="C23" s="4">
        <v>300</v>
      </c>
    </row>
    <row r="24" spans="1:3" ht="19.5" customHeight="1" x14ac:dyDescent="0.4">
      <c r="A24" s="3">
        <v>21</v>
      </c>
      <c r="B24" s="3" t="s">
        <v>25</v>
      </c>
      <c r="C24" s="4">
        <v>1</v>
      </c>
    </row>
    <row r="25" spans="1:3" ht="19.5" customHeight="1" x14ac:dyDescent="0.4">
      <c r="A25" s="3">
        <v>22</v>
      </c>
      <c r="B25" s="3" t="s">
        <v>26</v>
      </c>
      <c r="C25" s="4">
        <v>6</v>
      </c>
    </row>
    <row r="26" spans="1:3" ht="19.5" customHeight="1" x14ac:dyDescent="0.4">
      <c r="A26" s="3">
        <v>23</v>
      </c>
      <c r="B26" s="3" t="s">
        <v>27</v>
      </c>
      <c r="C26" s="4">
        <v>26</v>
      </c>
    </row>
    <row r="27" spans="1:3" ht="19.5" customHeight="1" x14ac:dyDescent="0.4">
      <c r="A27" s="3">
        <v>24</v>
      </c>
      <c r="B27" s="3" t="s">
        <v>28</v>
      </c>
      <c r="C27" s="4">
        <v>3</v>
      </c>
    </row>
    <row r="28" spans="1:3" ht="19.5" customHeight="1" x14ac:dyDescent="0.4">
      <c r="A28" s="3">
        <v>25</v>
      </c>
      <c r="B28" s="3" t="s">
        <v>29</v>
      </c>
      <c r="C28" s="4">
        <v>3</v>
      </c>
    </row>
    <row r="29" spans="1:3" ht="19.5" customHeight="1" x14ac:dyDescent="0.4">
      <c r="A29" s="3">
        <v>26</v>
      </c>
      <c r="B29" s="3" t="s">
        <v>30</v>
      </c>
      <c r="C29" s="4">
        <v>4</v>
      </c>
    </row>
    <row r="30" spans="1:3" ht="19.5" customHeight="1" x14ac:dyDescent="0.4">
      <c r="A30" s="3">
        <v>27</v>
      </c>
      <c r="B30" s="3" t="s">
        <v>31</v>
      </c>
      <c r="C30" s="4">
        <v>48</v>
      </c>
    </row>
    <row r="31" spans="1:3" ht="19.5" customHeight="1" x14ac:dyDescent="0.4">
      <c r="A31" s="3">
        <v>28</v>
      </c>
      <c r="B31" s="3" t="s">
        <v>32</v>
      </c>
      <c r="C31" s="4">
        <v>1</v>
      </c>
    </row>
    <row r="32" spans="1:3" ht="19.5" customHeight="1" x14ac:dyDescent="0.4">
      <c r="A32" s="3">
        <v>29</v>
      </c>
      <c r="B32" s="3" t="s">
        <v>33</v>
      </c>
      <c r="C32" s="4">
        <v>1</v>
      </c>
    </row>
    <row r="33" spans="1:3" ht="19.5" customHeight="1" x14ac:dyDescent="0.4">
      <c r="A33" s="3">
        <v>30</v>
      </c>
      <c r="B33" s="3" t="s">
        <v>34</v>
      </c>
      <c r="C33" s="4">
        <v>1</v>
      </c>
    </row>
    <row r="34" spans="1:3" ht="19.5" customHeight="1" x14ac:dyDescent="0.4">
      <c r="A34" s="3">
        <v>31</v>
      </c>
      <c r="B34" s="3" t="s">
        <v>36</v>
      </c>
      <c r="C34" s="4">
        <v>62</v>
      </c>
    </row>
    <row r="35" spans="1:3" x14ac:dyDescent="0.4">
      <c r="A35" s="3">
        <v>32</v>
      </c>
      <c r="B35" s="3" t="s">
        <v>37</v>
      </c>
      <c r="C35" s="4">
        <v>1</v>
      </c>
    </row>
    <row r="36" spans="1:3" x14ac:dyDescent="0.4">
      <c r="A36" s="3">
        <v>33</v>
      </c>
      <c r="B36" s="3" t="s">
        <v>38</v>
      </c>
      <c r="C36" s="4">
        <v>1</v>
      </c>
    </row>
    <row r="37" spans="1:3" x14ac:dyDescent="0.4">
      <c r="A37" s="3">
        <v>34</v>
      </c>
      <c r="B37" s="3" t="s">
        <v>39</v>
      </c>
      <c r="C37" s="4">
        <v>4</v>
      </c>
    </row>
    <row r="38" spans="1:3" x14ac:dyDescent="0.4">
      <c r="A38" s="3">
        <v>35</v>
      </c>
      <c r="B38" s="3" t="s">
        <v>40</v>
      </c>
      <c r="C38" s="4">
        <v>7</v>
      </c>
    </row>
    <row r="39" spans="1:3" x14ac:dyDescent="0.4">
      <c r="A39" s="3">
        <v>36</v>
      </c>
      <c r="B39" s="3" t="s">
        <v>41</v>
      </c>
      <c r="C39" s="4">
        <v>3</v>
      </c>
    </row>
    <row r="40" spans="1:3" x14ac:dyDescent="0.4">
      <c r="A40" s="3">
        <v>37</v>
      </c>
      <c r="B40" s="3" t="s">
        <v>42</v>
      </c>
      <c r="C40" s="4">
        <v>15</v>
      </c>
    </row>
    <row r="41" spans="1:3" x14ac:dyDescent="0.4">
      <c r="A41" s="3">
        <v>38</v>
      </c>
      <c r="B41" s="3" t="s">
        <v>43</v>
      </c>
      <c r="C41" s="4">
        <v>6</v>
      </c>
    </row>
    <row r="42" spans="1:3" x14ac:dyDescent="0.4">
      <c r="A42" s="3">
        <v>39</v>
      </c>
      <c r="B42" s="3" t="s">
        <v>44</v>
      </c>
      <c r="C42" s="4">
        <v>2</v>
      </c>
    </row>
    <row r="43" spans="1:3" x14ac:dyDescent="0.4">
      <c r="A43" s="3">
        <v>40</v>
      </c>
      <c r="B43" s="3" t="s">
        <v>45</v>
      </c>
      <c r="C43" s="4">
        <v>116</v>
      </c>
    </row>
    <row r="44" spans="1:3" x14ac:dyDescent="0.4">
      <c r="A44" s="3">
        <v>41</v>
      </c>
      <c r="B44" s="3" t="s">
        <v>46</v>
      </c>
      <c r="C44" s="4">
        <v>36</v>
      </c>
    </row>
    <row r="45" spans="1:3" x14ac:dyDescent="0.4">
      <c r="A45" s="3">
        <v>42</v>
      </c>
      <c r="B45" s="3" t="s">
        <v>47</v>
      </c>
      <c r="C45" s="4">
        <v>1</v>
      </c>
    </row>
    <row r="46" spans="1:3" x14ac:dyDescent="0.4">
      <c r="A46" s="3">
        <v>43</v>
      </c>
      <c r="B46" s="3" t="s">
        <v>48</v>
      </c>
      <c r="C46" s="4">
        <v>1</v>
      </c>
    </row>
    <row r="47" spans="1:3" x14ac:dyDescent="0.4">
      <c r="A47" s="3">
        <v>44</v>
      </c>
      <c r="B47" s="3" t="s">
        <v>49</v>
      </c>
      <c r="C47" s="4">
        <v>15</v>
      </c>
    </row>
    <row r="48" spans="1:3" x14ac:dyDescent="0.4">
      <c r="A48" s="3">
        <v>45</v>
      </c>
      <c r="B48" s="3" t="s">
        <v>50</v>
      </c>
      <c r="C48" s="4">
        <v>7</v>
      </c>
    </row>
    <row r="49" spans="1:3" x14ac:dyDescent="0.4">
      <c r="A49" s="3">
        <v>46</v>
      </c>
      <c r="B49" s="3" t="s">
        <v>51</v>
      </c>
      <c r="C49" s="4">
        <v>1</v>
      </c>
    </row>
    <row r="50" spans="1:3" x14ac:dyDescent="0.4">
      <c r="A50" s="3">
        <v>47</v>
      </c>
      <c r="B50" s="3" t="s">
        <v>59</v>
      </c>
      <c r="C50" s="4">
        <v>2</v>
      </c>
    </row>
    <row r="51" spans="1:3" x14ac:dyDescent="0.4">
      <c r="A51" s="3">
        <v>48</v>
      </c>
      <c r="B51" s="3" t="s">
        <v>52</v>
      </c>
      <c r="C51" s="4">
        <v>1</v>
      </c>
    </row>
    <row r="52" spans="1:3" x14ac:dyDescent="0.4">
      <c r="A52" s="3">
        <v>49</v>
      </c>
      <c r="B52" s="3" t="s">
        <v>53</v>
      </c>
      <c r="C52" s="4">
        <v>1</v>
      </c>
    </row>
    <row r="53" spans="1:3" x14ac:dyDescent="0.4">
      <c r="A53" s="3">
        <v>50</v>
      </c>
      <c r="B53" s="3" t="s">
        <v>54</v>
      </c>
      <c r="C53" s="4">
        <v>70</v>
      </c>
    </row>
    <row r="54" spans="1:3" x14ac:dyDescent="0.4">
      <c r="A54" s="3">
        <v>51</v>
      </c>
      <c r="B54" s="3" t="s">
        <v>55</v>
      </c>
      <c r="C54" s="4">
        <v>2</v>
      </c>
    </row>
    <row r="55" spans="1:3" x14ac:dyDescent="0.4">
      <c r="A55" s="3">
        <v>52</v>
      </c>
      <c r="B55" s="3" t="s">
        <v>56</v>
      </c>
      <c r="C55" s="4">
        <v>1</v>
      </c>
    </row>
    <row r="56" spans="1:3" x14ac:dyDescent="0.4">
      <c r="A56" s="3">
        <v>53</v>
      </c>
      <c r="B56" s="3" t="s">
        <v>57</v>
      </c>
      <c r="C56" s="4">
        <v>26</v>
      </c>
    </row>
    <row r="57" spans="1:3" x14ac:dyDescent="0.4">
      <c r="A57" s="3">
        <v>54</v>
      </c>
      <c r="B57" s="3" t="s">
        <v>58</v>
      </c>
      <c r="C57" s="4">
        <v>8</v>
      </c>
    </row>
    <row r="58" spans="1:3" x14ac:dyDescent="0.4">
      <c r="A58" s="3">
        <v>55</v>
      </c>
      <c r="B58" s="3" t="s">
        <v>60</v>
      </c>
      <c r="C58" s="4">
        <v>2</v>
      </c>
    </row>
    <row r="59" spans="1:3" x14ac:dyDescent="0.4">
      <c r="A59" s="3">
        <v>56</v>
      </c>
      <c r="B59" s="3" t="s">
        <v>61</v>
      </c>
      <c r="C59" s="4">
        <v>1</v>
      </c>
    </row>
    <row r="60" spans="1:3" x14ac:dyDescent="0.4">
      <c r="A60" s="3">
        <v>57</v>
      </c>
      <c r="B60" s="3" t="s">
        <v>62</v>
      </c>
      <c r="C60" s="4">
        <v>41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STOCK ALL FINAL</vt:lpstr>
      <vt:lpstr>STOCK ALL</vt:lpstr>
      <vt:lpstr>Sheet1</vt:lpstr>
      <vt:lpstr>'STOCK ALL FINAL'!Print_Area</vt:lpstr>
      <vt:lpstr>'STOCK ALL FINAL'!Print_Titles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2026-08-23T10:23:21Z</dcterms:modified>
</cp:coreProperties>
</file>